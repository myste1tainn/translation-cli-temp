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siraput_chaosanguan_accenture_com/Documents/01 Project/21. KTB_CBC credit write up/01 Financial statement input/GPSC/1258FIN090220241800170543T/Cut version/"/>
    </mc:Choice>
  </mc:AlternateContent>
  <xr:revisionPtr revIDLastSave="1" documentId="13_ncr:1_{85643B65-E9BC-4064-B3A5-8783DEA626D6}" xr6:coauthVersionLast="47" xr6:coauthVersionMax="47" xr10:uidLastSave="{6C195F08-8090-435F-B7DC-15E7C46DDDCD}"/>
  <bookViews>
    <workbookView xWindow="-168" yWindow="12852" windowWidth="23256" windowHeight="12456" xr2:uid="{9DF79088-E77C-4A44-88F8-812814893B4E}"/>
  </bookViews>
  <sheets>
    <sheet name="Thai 7-9" sheetId="1" r:id="rId1"/>
    <sheet name="Thai 10-11" sheetId="2" r:id="rId2"/>
  </sheets>
  <definedNames>
    <definedName name="_xlnm._FilterDatabase" localSheetId="0" hidden="1">'Thai 7-9'!$F$1:$L$158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2" l="1"/>
  <c r="G85" i="2" l="1"/>
  <c r="M95" i="2"/>
  <c r="I95" i="2"/>
  <c r="M85" i="2"/>
  <c r="K85" i="2"/>
  <c r="I85" i="2"/>
  <c r="M72" i="2"/>
  <c r="K72" i="2"/>
  <c r="I72" i="2"/>
  <c r="G72" i="2"/>
  <c r="A48" i="2"/>
  <c r="A98" i="2" s="1"/>
  <c r="I33" i="2"/>
  <c r="M13" i="2"/>
  <c r="M24" i="2" s="1"/>
  <c r="M27" i="2" s="1"/>
  <c r="K13" i="2"/>
  <c r="I13" i="2"/>
  <c r="I24" i="2" s="1"/>
  <c r="I27" i="2" s="1"/>
  <c r="G13" i="2"/>
  <c r="A1" i="2"/>
  <c r="A49" i="2" s="1"/>
  <c r="A158" i="1"/>
  <c r="F141" i="1"/>
  <c r="L138" i="1"/>
  <c r="L141" i="1" s="1"/>
  <c r="H138" i="1"/>
  <c r="H141" i="1" s="1"/>
  <c r="F138" i="1"/>
  <c r="J138" i="1"/>
  <c r="J141" i="1" s="1"/>
  <c r="A111" i="1"/>
  <c r="A109" i="1"/>
  <c r="A108" i="1"/>
  <c r="L97" i="1"/>
  <c r="J97" i="1"/>
  <c r="J99" i="1" s="1"/>
  <c r="H97" i="1"/>
  <c r="F97" i="1"/>
  <c r="L83" i="1"/>
  <c r="J83" i="1"/>
  <c r="H83" i="1"/>
  <c r="F83" i="1"/>
  <c r="A61" i="1"/>
  <c r="A59" i="1"/>
  <c r="L48" i="1"/>
  <c r="J48" i="1"/>
  <c r="H48" i="1"/>
  <c r="F48" i="1"/>
  <c r="F50" i="1" s="1"/>
  <c r="H27" i="1"/>
  <c r="L27" i="1"/>
  <c r="J27" i="1"/>
  <c r="F27" i="1"/>
  <c r="L99" i="1" l="1"/>
  <c r="L143" i="1"/>
  <c r="F99" i="1"/>
  <c r="H99" i="1"/>
  <c r="H143" i="1" s="1"/>
  <c r="L50" i="1"/>
  <c r="H50" i="1"/>
  <c r="M87" i="2"/>
  <c r="G87" i="2"/>
  <c r="K24" i="2"/>
  <c r="K27" i="2" s="1"/>
  <c r="G24" i="2"/>
  <c r="G27" i="2" s="1"/>
  <c r="I87" i="2"/>
  <c r="I89" i="2" s="1"/>
  <c r="K87" i="2"/>
  <c r="F143" i="1"/>
  <c r="J50" i="1"/>
  <c r="J143" i="1"/>
  <c r="M89" i="2" l="1"/>
  <c r="G89" i="2"/>
  <c r="K89" i="2"/>
  <c r="K95" i="2" s="1"/>
  <c r="K33" i="2"/>
  <c r="M33" i="2"/>
  <c r="G33" i="2" l="1"/>
  <c r="G95" i="2"/>
</calcChain>
</file>

<file path=xl/sharedStrings.xml><?xml version="1.0" encoding="utf-8"?>
<sst xmlns="http://schemas.openxmlformats.org/spreadsheetml/2006/main" count="213" uniqueCount="150">
  <si>
    <t>บริษัท โกลบอล เพาเวอร์ ซินเนอร์ยี่ จำกัด (มหาชน)</t>
  </si>
  <si>
    <t>งบแสดงฐานะการเงิน</t>
  </si>
  <si>
    <t>ณ วันที่ 31 ธันวาคม พ.ศ. 2566</t>
  </si>
  <si>
    <t>งบการเงินรวม</t>
  </si>
  <si>
    <t>งบการเงินเฉพาะกิจการ</t>
  </si>
  <si>
    <t>พ.ศ. 2566</t>
  </si>
  <si>
    <t>พ.ศ. 2565</t>
  </si>
  <si>
    <t>หมายเหตุ</t>
  </si>
  <si>
    <t>บาท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</si>
  <si>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</si>
  <si>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</si>
  <si>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</si>
  <si>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เงินฝากสถาบันการเงินที่ใช้เป็นหลักประกัน</t>
  </si>
  <si>
    <t>สินทรัพย์ทางการเงินที่วัดมูลค่าด้วยวิธีราคาทุนตัดจำหน่าย</t>
  </si>
  <si>
    <t>ลูกหนี้การค้า - สุทธิ</t>
  </si>
  <si>
    <t>14,40</t>
  </si>
  <si>
    <t>ลูกหนี้ตามสัญญาเช่าการเงินที่ครบกำหนดชำระภายในหนึ่งปี - สุทธิ</t>
  </si>
  <si>
    <t>ลูกหนี้อื่น</t>
  </si>
  <si>
    <t>16,40</t>
  </si>
  <si>
    <t>เงินปันผลค้างรับ</t>
  </si>
  <si>
    <t>19,40</t>
  </si>
  <si>
    <t>เงินให้กู้ยืมระยะสั้นแก่กิจการที่เกี่ยวข้องกัน</t>
  </si>
  <si>
    <t>ส่วนของเงินให้กู้ยืมระยะยาวแก่กิจการที่เกี่ยวข้องกัน</t>
  </si>
  <si>
    <t>ที่ถึงกำหนดชำระภายในหนึ่งปี</t>
  </si>
  <si>
    <t>เชื้อเพลิง อะไหล่และวัสดุเครื่องจักร - สุทธิ</t>
  </si>
  <si>
    <t>สินทรัพย์อนุพันธ์ทางการเงิน</t>
  </si>
  <si>
    <t>สินทรัพย์ที่ถือไว้เพื่อขาย - สุทธิ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</si>
  <si>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</si>
  <si>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</si>
  <si>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</si>
  <si>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ลูกหนี้ตามสัญญาเช่าการเงิน - สุทธิ</t>
  </si>
  <si>
    <t>เงินลงทุนในบริษัทร่วม</t>
  </si>
  <si>
    <t>เงินลงทุนในการร่วมค้า</t>
  </si>
  <si>
    <t>เงินลงทุนในบริษัทย่อย</t>
  </si>
  <si>
    <t>สินทรัพย์ทางการเงินที่วัดมูลค่าด้วย</t>
  </si>
  <si>
    <t>มูลค่ายุติธรรมผ่านกำไรขาดทุนเบ็ดเสร็จอื่น</t>
  </si>
  <si>
    <t>8,20</t>
  </si>
  <si>
    <t>เงินให้กู้ยืมระยะยาวและดอกเบี้ยค้างรับ</t>
  </si>
  <si>
    <t>แก่กิจการที่เกี่ยวข้องกัน - สุทธิ</t>
  </si>
  <si>
    <t>ที่ดิน อาคารและอุปกรณ์ - สุทธิ</t>
  </si>
  <si>
    <t>สินทรัพย์ที่ไม่ได้ใช้ในการดำเนินงาน - สุทธิ</t>
  </si>
  <si>
    <t>สินทรัพย์ไม่มีตัวตน - สุทธิ</t>
  </si>
  <si>
    <t>สินทรัพย์สิทธิการใช้ - สุทธิ</t>
  </si>
  <si>
    <t>ค่าความนิยม</t>
  </si>
  <si>
    <t>สินทรัพย์ภาษีเงินได้รอตัดบัญชี - สุทธิ</t>
  </si>
  <si>
    <t>สินทรัพย์ไม่หมุนเวียนอื่น - สุทธิ</t>
  </si>
  <si>
    <t>รวมสินทรัพย์ไม่หมุนเวียน</t>
  </si>
  <si>
    <t>รวมสินทรัพย์</t>
  </si>
  <si>
    <t>กรรมการ   ________________________________</t>
  </si>
  <si>
    <t>วันที่         ________________________________</t>
  </si>
  <si>
    <t>หมายเหตุประกอบงบการเงินรวมและงบการเงินเฉพาะกิจการเป็นส่วนหนึ่งของงบการเงินนี้</t>
  </si>
  <si>
    <t>หนี้สินและส่วนของเจ้าของ</t>
  </si>
  <si>
    <t>หนี้สินหมุนเวียน</t>
  </si>
  <si>
    <t>เจ้าหนี้การค้า</t>
  </si>
  <si>
    <t>25,40</t>
  </si>
  <si>
    <t>เจ้าหนี้อื่น</t>
  </si>
  <si>
    <t>26,40</t>
  </si>
  <si>
    <t>เจ้าหนี้งานก่อสร้าง</t>
  </si>
  <si>
    <t>เงินกู้ยืมระยะสั้นจากสถาบันการเงิน</t>
  </si>
  <si>
    <t>หนี้สินตามสัญญาเช่าที่ถึงกำหนดชำระภายในหนึ่งปี - สุทธิ</t>
  </si>
  <si>
    <t>ส่วนของเงินกู้ยืมระยะยาวจากสถาบันการเงิน</t>
  </si>
  <si>
    <t>ที่ถึงกำหนดชำระภายในหนึ่งปี - สุทธิ</t>
  </si>
  <si>
    <t>ส่วนของเงินกู้ยืมระยะยาวจากกิจการที่เกี่ยวข้องกัน</t>
  </si>
  <si>
    <t>หุ้นกู้ที่ถึงกำหนดชำระในหนึ่งปี - สุทธิ</t>
  </si>
  <si>
    <t>หนี้สินอนุพันธ์ทางการเงิน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</si>
  <si>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</si>
  <si>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</si>
  <si>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</si>
  <si>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หนี้สินตามสัญญาเช่า - สุทธิ</t>
  </si>
  <si>
    <t>เงินกู้ยืมระยะยาวจากสถาบันการเงิน - สุทธิ</t>
  </si>
  <si>
    <t>เงินกู้ยืมระยะยาวจากกิจการที่เกี่ยวข้องกัน - สุทธิ</t>
  </si>
  <si>
    <t>หุ้นกู้ - สุทธิ</t>
  </si>
  <si>
    <t>ภาระผูกพันผลประโยชน์พนักงาน</t>
  </si>
  <si>
    <t>หนี้สินภาษีเงินได้รอตัดบัญชี - สุทธิ</t>
  </si>
  <si>
    <t>เงินประกันงานก่อสร้าง</t>
  </si>
  <si>
    <t>หนี้สินไม่หมุนเวียนอื่น</t>
  </si>
  <si>
    <t>31,40</t>
  </si>
  <si>
    <t>รวมหนี้สินไม่หมุนเวียน</t>
  </si>
  <si>
    <t>รวมหนี้สิน</t>
  </si>
  <si>
    <t xml:space="preserve">งบแสดงฐานะการเงิน </t>
  </si>
  <si>
    <r>
      <t xml:space="preserve">หนี้สินและส่วนของเจ้าของ </t>
    </r>
    <r>
      <rPr>
        <sz val="13"/>
        <rFont val="Browallia New"/>
        <family val="2"/>
      </rPr>
      <t>(ต่อ)</t>
    </r>
  </si>
  <si>
    <t>ส่วนของเจ้าของ</t>
  </si>
  <si>
    <t>ทุนเรือนหุ้น</t>
  </si>
  <si>
    <t>ทุนจดทะเบียน</t>
  </si>
  <si>
    <t>หุ้นสามัญจำนวน 2,819,729,371 หุ้น</t>
  </si>
  <si>
    <t xml:space="preserve"> มูลค่าตราไว้หุ้นละ 10 บาท</t>
  </si>
  <si>
    <t>ทุนที่ออกและชำระแล้ว</t>
  </si>
  <si>
    <t xml:space="preserve">หุ้นสามัญจำนวน 2,819,729,367 หุ้น </t>
  </si>
  <si>
    <t xml:space="preserve"> มูลค่าที่ได้รับชำระแล้วหุ้นละ 10 บาท</t>
  </si>
  <si>
    <t>ส่วนเกินมูลค่าหุ้นสามัญ</t>
  </si>
  <si>
    <t>ส่วนต่ำจากการเปลี่ยนแปลงสัดส่วน</t>
  </si>
  <si>
    <t>ส่วนเกิน (ต่ำกว่า) ทุนอื่น</t>
  </si>
  <si>
    <t>กำไรสะสม</t>
  </si>
  <si>
    <t>จัดสรรแล้ว</t>
  </si>
  <si>
    <t xml:space="preserve">  - สำรองตามกฎหมาย</t>
  </si>
  <si>
    <t>ยังไม่ได้จัดสรร</t>
  </si>
  <si>
    <t>องค์ประกอบอื่นของส่วนของเจ้าของ</t>
  </si>
  <si>
    <t>รวมส่วนของผู้เป็นเจ้าของของบริษัทใหญ่</t>
  </si>
  <si>
    <t>ส่วนได้เสียที่ไม่มีอำนาจควบคุม</t>
  </si>
  <si>
    <t>รวมส่วนของเจ้าของ</t>
  </si>
  <si>
    <t>รวมหนี้สินและส่วนของเจ้าของ</t>
  </si>
  <si>
    <t>งบกำไรขาดทุน</t>
  </si>
  <si>
    <t>สำหรับปีสิ้นสุดวันที่ 31 ธันวาคม พ.ศ. 2566</t>
  </si>
  <si>
    <t xml:space="preserve"> </t>
  </si>
  <si>
    <t>รายได้จากการขายและการให้บริการ</t>
  </si>
  <si>
    <t>รายได้จากสัญญาเช่าการเงิน</t>
  </si>
  <si>
    <t>ต้นทุนขายและการให้บริการ</t>
  </si>
  <si>
    <t>กำไรขั้นต้น</t>
  </si>
  <si>
    <t>เงินปันผลรับ</t>
  </si>
  <si>
    <t>19,20</t>
  </si>
  <si>
    <t>รายได้อื่น</t>
  </si>
  <si>
    <t>ขาดทุนจากอัตราแลกเปลี่ยน - สุทธิ</t>
  </si>
  <si>
    <t>ค่าใช้จ่ายในการบริหาร</t>
  </si>
  <si>
    <t>กำไร (ขาดทุน) จากการวัดมูลค่า</t>
  </si>
  <si>
    <t>เครื่องมือทางการเงิน - สุทธิ</t>
  </si>
  <si>
    <t>ต้นทุนทางการเงิน</t>
  </si>
  <si>
    <t>ส่วนแบ่งกำไรจากเงินลงทุนในบริษัทร่วม</t>
  </si>
  <si>
    <t>และการร่วมค้า - สุทธิ</t>
  </si>
  <si>
    <t>กำไรก่อนภาษีเงินได้</t>
  </si>
  <si>
    <t>ภาษีเงินได้</t>
  </si>
  <si>
    <t>กำไรสำหรับปี</t>
  </si>
  <si>
    <t>การแบ่งปันกำไร</t>
  </si>
  <si>
    <t>ส่วนที่เป็นของผู้เป็นเจ้าของของบริษัทใหญ่</t>
  </si>
  <si>
    <t>ส่วนที่เป็นของส่วนได้เสียที่ไม่มีอำนาจควบคุม</t>
  </si>
  <si>
    <t>กำไรต่อหุ้น</t>
  </si>
  <si>
    <t>กำไรต่อหุ้นขั้นพื้นฐาน</t>
  </si>
  <si>
    <t>งบกำไรขาดทุนเบ็ดเสร็จ</t>
  </si>
  <si>
    <t>กำไร (ขาดทุน) เบ็ดเสร็จอื่น :</t>
  </si>
  <si>
    <t>รายการที่จะจัดประเภทรายการใหม่ไปยัง</t>
  </si>
  <si>
    <t>กำไรหรือขาดทุนในภายหลัง</t>
  </si>
  <si>
    <t>การป้องกันความเสี่ยงกระแสเงินสด</t>
  </si>
  <si>
    <t>ต้นทุนในการป้องกันความเสี่ยง</t>
  </si>
  <si>
    <t>ส่วนแบ่งขาดทุนเบ็ดเสร็จอื่นจากเงินลงทุน</t>
  </si>
  <si>
    <t>ในบริษัทร่วมและการร่วมค้าตามวิธีส่วนได้เสีย</t>
  </si>
  <si>
    <t>ภาษีเงินได้ของรายการที่จะจัดประเภทใหม่</t>
  </si>
  <si>
    <t>ไปยังกำไรหรือขาดทุนในภายหลัง</t>
  </si>
  <si>
    <t>รวมรายการที่จะจัดประเภทใหม่ไปยัง</t>
  </si>
  <si>
    <t>กำไรหรือขาดทุนในภายหลัง - สุทธิภาษี</t>
  </si>
  <si>
    <t>รายการที่จะไม่จัดประเภทรายการใหม่ไปยัง</t>
  </si>
  <si>
    <t>กำไร (ขาดทุน) จากการวัดมูลค่าเงินลงทุนในตราสารทุน</t>
  </si>
  <si>
    <t>ด้วยมูลค่ายุติธรรมผ่านกำไรขาดทุนเบ็ดเสร็จอื่น</t>
  </si>
  <si>
    <t>ภาษีเงินได้ของรายการที่จะไม่จัดประเภทใหม่</t>
  </si>
  <si>
    <t>รวมรายการที่จะไม่จัดประเภทใหม่ไปยัง</t>
  </si>
  <si>
    <t>กำไร (ขาดทุน) เบ็ดเสร็จอื่นสำหรับปี - สุทธิจากภาษี</t>
  </si>
  <si>
    <t>กำไรเบ็ดเสร็จรวมสำหรับปี</t>
  </si>
  <si>
    <t>การแบ่งปันกำไรเบ็ดเสร็จรวม</t>
  </si>
  <si>
    <t>การวัดมูลค่าใหม่ของภาระผูกพันผลประโยชน์พนักงาน</t>
  </si>
  <si>
    <t>ส่วนแบ่งกำไร (ขาดทุน) เบ็ดเสร็จอื่นจากเงินลงทุน</t>
  </si>
  <si>
    <t>ผลต่างของอัตราแลกเปลี่ยน</t>
  </si>
  <si>
    <t>จากการแปลงค่างบการเงิน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</si>
</sst>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#,##0;\(#,##0\)"/>
    <numFmt numFmtId="166" formatCode="#,##0;\(#,##0\);\-"/>
    <numFmt numFmtId="167" formatCode="#,##0.0;\(#,##0.0\)"/>
    <numFmt numFmtId="168" formatCode="#,##0.00000000;\(#,##0.00000000\);\-"/>
    <numFmt numFmtId="169" formatCode="_(* #,##0_);_(* \(#,##0\);_(* &quot;-&quot;??_);_(@_)"/>
    <numFmt numFmtId="170" formatCode="_-* #,##0_-;\-* #,##0_-;_-* &quot;-&quot;??_-;_-@_-"/>
    <numFmt numFmtId="171" formatCode="#,##0.00;\(#,##0.00\);\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Browallia New"/>
      <family val="2"/>
    </font>
    <font>
      <sz val="14"/>
      <name val="Cordia New"/>
      <family val="2"/>
    </font>
    <font>
      <sz val="13"/>
      <name val="Browallia New"/>
      <family val="2"/>
    </font>
    <font>
      <sz val="11"/>
      <name val="Calibri"/>
      <family val="2"/>
      <scheme val="minor"/>
    </font>
    <font>
      <sz val="11"/>
      <name val="Calibri"/>
      <family val="2"/>
    </font>
    <font>
      <u/>
      <sz val="13"/>
      <name val="Browall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0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0" fontId="3" fillId="0" borderId="0"/>
  </cellStyleXfs>
  <cellXfs count="116">
    <xf numFmtId="0" fontId="0" fillId="0" borderId="0" xfId="0"/>
    <xf numFmtId="165" fontId="2" fillId="0" borderId="0" xfId="0" applyNumberFormat="1" applyFont="1" applyAlignment="1">
      <alignment vertical="center"/>
    </xf>
    <xf numFmtId="165" fontId="2" fillId="0" borderId="0" xfId="2" applyNumberFormat="1" applyFont="1" applyAlignment="1">
      <alignment vertical="center"/>
    </xf>
    <xf numFmtId="165" fontId="4" fillId="0" borderId="0" xfId="2" applyNumberFormat="1" applyFont="1" applyAlignment="1">
      <alignment vertical="center"/>
    </xf>
    <xf numFmtId="165" fontId="4" fillId="0" borderId="0" xfId="2" applyNumberFormat="1" applyFont="1" applyAlignment="1">
      <alignment horizontal="center" vertical="center"/>
    </xf>
    <xf numFmtId="166" fontId="4" fillId="0" borderId="0" xfId="2" applyNumberFormat="1" applyFont="1" applyAlignment="1">
      <alignment vertical="center"/>
    </xf>
    <xf numFmtId="166" fontId="4" fillId="0" borderId="0" xfId="2" applyNumberFormat="1" applyFont="1" applyAlignment="1">
      <alignment horizontal="right" vertical="center"/>
    </xf>
    <xf numFmtId="0" fontId="5" fillId="0" borderId="0" xfId="0" applyFont="1"/>
    <xf numFmtId="165" fontId="2" fillId="0" borderId="1" xfId="2" applyNumberFormat="1" applyFont="1" applyBorder="1" applyAlignment="1">
      <alignment vertical="center"/>
    </xf>
    <xf numFmtId="165" fontId="4" fillId="0" borderId="1" xfId="2" applyNumberFormat="1" applyFont="1" applyBorder="1" applyAlignment="1">
      <alignment vertical="center"/>
    </xf>
    <xf numFmtId="165" fontId="4" fillId="0" borderId="1" xfId="2" applyNumberFormat="1" applyFont="1" applyBorder="1" applyAlignment="1">
      <alignment horizontal="center" vertical="center"/>
    </xf>
    <xf numFmtId="166" fontId="4" fillId="0" borderId="1" xfId="2" applyNumberFormat="1" applyFont="1" applyBorder="1" applyAlignment="1">
      <alignment vertical="center"/>
    </xf>
    <xf numFmtId="166" fontId="4" fillId="0" borderId="1" xfId="2" applyNumberFormat="1" applyFont="1" applyBorder="1" applyAlignment="1">
      <alignment horizontal="right" vertical="center"/>
    </xf>
    <xf numFmtId="166" fontId="2" fillId="0" borderId="0" xfId="1" applyNumberFormat="1" applyFont="1" applyFill="1" applyBorder="1" applyAlignment="1">
      <alignment horizontal="right" vertical="center"/>
    </xf>
    <xf numFmtId="166" fontId="2" fillId="0" borderId="0" xfId="3" applyNumberFormat="1" applyFont="1" applyFill="1" applyAlignment="1">
      <alignment horizontal="right" vertical="center"/>
    </xf>
    <xf numFmtId="166" fontId="2" fillId="0" borderId="0" xfId="2" applyNumberFormat="1" applyFont="1" applyAlignment="1">
      <alignment vertical="center"/>
    </xf>
    <xf numFmtId="166" fontId="2" fillId="0" borderId="0" xfId="2" applyNumberFormat="1" applyFont="1" applyAlignment="1">
      <alignment horizontal="right" vertical="center"/>
    </xf>
    <xf numFmtId="165" fontId="2" fillId="0" borderId="1" xfId="2" applyNumberFormat="1" applyFont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6" fontId="4" fillId="2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67" fontId="4" fillId="0" borderId="0" xfId="2" applyNumberFormat="1" applyFont="1" applyAlignment="1">
      <alignment horizontal="center" vertical="center"/>
    </xf>
    <xf numFmtId="166" fontId="4" fillId="2" borderId="0" xfId="0" applyNumberFormat="1" applyFont="1" applyFill="1" applyAlignment="1">
      <alignment horizontal="right" vertical="center"/>
    </xf>
    <xf numFmtId="166" fontId="4" fillId="2" borderId="1" xfId="0" applyNumberFormat="1" applyFont="1" applyFill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6" fontId="4" fillId="2" borderId="1" xfId="1" applyNumberFormat="1" applyFont="1" applyFill="1" applyBorder="1" applyAlignment="1">
      <alignment horizontal="right" vertical="center"/>
    </xf>
    <xf numFmtId="166" fontId="4" fillId="0" borderId="1" xfId="1" applyNumberFormat="1" applyFont="1" applyFill="1" applyBorder="1" applyAlignment="1">
      <alignment horizontal="right" vertical="center"/>
    </xf>
    <xf numFmtId="166" fontId="4" fillId="2" borderId="2" xfId="1" applyNumberFormat="1" applyFont="1" applyFill="1" applyBorder="1" applyAlignment="1">
      <alignment horizontal="right" vertical="center"/>
    </xf>
    <xf numFmtId="166" fontId="4" fillId="0" borderId="2" xfId="1" applyNumberFormat="1" applyFont="1" applyFill="1" applyBorder="1" applyAlignment="1">
      <alignment horizontal="right" vertical="center"/>
    </xf>
    <xf numFmtId="166" fontId="4" fillId="2" borderId="3" xfId="1" applyNumberFormat="1" applyFont="1" applyFill="1" applyBorder="1" applyAlignment="1">
      <alignment horizontal="right" vertical="center"/>
    </xf>
    <xf numFmtId="166" fontId="4" fillId="0" borderId="3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Alignment="1">
      <alignment horizontal="right" vertical="center"/>
    </xf>
    <xf numFmtId="166" fontId="4" fillId="0" borderId="0" xfId="1" applyNumberFormat="1" applyFont="1" applyFill="1" applyBorder="1" applyAlignment="1">
      <alignment horizontal="right" vertical="center"/>
    </xf>
    <xf numFmtId="165" fontId="4" fillId="0" borderId="0" xfId="2" applyNumberFormat="1" applyFont="1" applyAlignment="1">
      <alignment horizontal="left" vertical="center"/>
    </xf>
    <xf numFmtId="165" fontId="7" fillId="0" borderId="0" xfId="2" applyNumberFormat="1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166" fontId="4" fillId="2" borderId="2" xfId="0" applyNumberFormat="1" applyFont="1" applyFill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4" fillId="2" borderId="1" xfId="1" applyNumberFormat="1" applyFont="1" applyFill="1" applyBorder="1" applyAlignment="1">
      <alignment vertical="center"/>
    </xf>
    <xf numFmtId="166" fontId="4" fillId="0" borderId="1" xfId="1" applyNumberFormat="1" applyFont="1" applyFill="1" applyBorder="1" applyAlignment="1">
      <alignment vertical="center"/>
    </xf>
    <xf numFmtId="166" fontId="4" fillId="2" borderId="0" xfId="1" applyNumberFormat="1" applyFont="1" applyFill="1" applyAlignment="1">
      <alignment vertical="center"/>
    </xf>
    <xf numFmtId="166" fontId="4" fillId="0" borderId="0" xfId="1" applyNumberFormat="1" applyFont="1" applyFill="1" applyAlignment="1">
      <alignment vertical="center"/>
    </xf>
    <xf numFmtId="166" fontId="4" fillId="2" borderId="0" xfId="2" applyNumberFormat="1" applyFont="1" applyFill="1" applyAlignment="1">
      <alignment vertical="center"/>
    </xf>
    <xf numFmtId="166" fontId="4" fillId="2" borderId="0" xfId="1" applyNumberFormat="1" applyFont="1" applyFill="1" applyAlignment="1">
      <alignment horizontal="right" vertical="center"/>
    </xf>
    <xf numFmtId="166" fontId="4" fillId="2" borderId="1" xfId="2" applyNumberFormat="1" applyFont="1" applyFill="1" applyBorder="1" applyAlignment="1">
      <alignment vertical="center"/>
    </xf>
    <xf numFmtId="165" fontId="2" fillId="0" borderId="0" xfId="0" applyNumberFormat="1" applyFont="1" applyAlignment="1">
      <alignment horizontal="left" vertical="center"/>
    </xf>
    <xf numFmtId="166" fontId="4" fillId="0" borderId="0" xfId="1" applyNumberFormat="1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6" fontId="4" fillId="2" borderId="4" xfId="0" applyNumberFormat="1" applyFont="1" applyFill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166" fontId="4" fillId="2" borderId="5" xfId="1" applyNumberFormat="1" applyFont="1" applyFill="1" applyBorder="1" applyAlignment="1">
      <alignment vertical="center"/>
    </xf>
    <xf numFmtId="166" fontId="4" fillId="0" borderId="5" xfId="1" applyNumberFormat="1" applyFont="1" applyFill="1" applyBorder="1" applyAlignment="1">
      <alignment vertical="center"/>
    </xf>
    <xf numFmtId="166" fontId="4" fillId="0" borderId="0" xfId="3" applyNumberFormat="1" applyFont="1" applyFill="1" applyAlignment="1">
      <alignment horizontal="right" vertical="center"/>
    </xf>
    <xf numFmtId="164" fontId="4" fillId="0" borderId="0" xfId="1" applyFont="1" applyFill="1" applyAlignment="1">
      <alignment vertical="center"/>
    </xf>
    <xf numFmtId="168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4" fillId="0" borderId="0" xfId="2" applyNumberFormat="1" applyFont="1" applyAlignment="1">
      <alignment horizontal="right" vertical="center"/>
    </xf>
    <xf numFmtId="166" fontId="2" fillId="0" borderId="1" xfId="3" applyNumberFormat="1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6" fontId="4" fillId="2" borderId="1" xfId="3" applyNumberFormat="1" applyFont="1" applyFill="1" applyBorder="1" applyAlignment="1">
      <alignment vertical="center"/>
    </xf>
    <xf numFmtId="166" fontId="4" fillId="0" borderId="1" xfId="3" applyNumberFormat="1" applyFont="1" applyFill="1" applyBorder="1" applyAlignment="1">
      <alignment vertical="center"/>
    </xf>
    <xf numFmtId="166" fontId="4" fillId="2" borderId="1" xfId="3" applyNumberFormat="1" applyFont="1" applyFill="1" applyBorder="1" applyAlignment="1">
      <alignment horizontal="right" vertical="center"/>
    </xf>
    <xf numFmtId="166" fontId="4" fillId="0" borderId="1" xfId="3" applyNumberFormat="1" applyFont="1" applyFill="1" applyBorder="1" applyAlignment="1">
      <alignment horizontal="right" vertical="center"/>
    </xf>
    <xf numFmtId="169" fontId="4" fillId="0" borderId="0" xfId="3" applyNumberFormat="1" applyFont="1" applyFill="1" applyBorder="1" applyAlignment="1">
      <alignment horizontal="right" vertical="center"/>
    </xf>
    <xf numFmtId="166" fontId="4" fillId="0" borderId="0" xfId="3" applyNumberFormat="1" applyFont="1" applyFill="1" applyBorder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70" fontId="4" fillId="2" borderId="1" xfId="1" applyNumberFormat="1" applyFont="1" applyFill="1" applyBorder="1" applyAlignment="1">
      <alignment horizontal="right" vertical="center"/>
    </xf>
    <xf numFmtId="165" fontId="4" fillId="0" borderId="0" xfId="4" applyNumberFormat="1" applyFont="1" applyAlignment="1">
      <alignment vertical="center"/>
    </xf>
    <xf numFmtId="165" fontId="4" fillId="0" borderId="0" xfId="4" applyNumberFormat="1" applyFont="1" applyAlignment="1">
      <alignment horizontal="center" vertical="center"/>
    </xf>
    <xf numFmtId="165" fontId="4" fillId="0" borderId="0" xfId="4" applyNumberFormat="1" applyFont="1" applyAlignment="1">
      <alignment horizontal="right" vertical="center"/>
    </xf>
    <xf numFmtId="166" fontId="4" fillId="0" borderId="0" xfId="4" applyNumberFormat="1" applyFont="1" applyAlignment="1">
      <alignment horizontal="right" vertical="center"/>
    </xf>
    <xf numFmtId="170" fontId="4" fillId="2" borderId="6" xfId="1" applyNumberFormat="1" applyFont="1" applyFill="1" applyBorder="1" applyAlignment="1">
      <alignment vertical="center"/>
    </xf>
    <xf numFmtId="166" fontId="4" fillId="0" borderId="6" xfId="0" applyNumberFormat="1" applyFont="1" applyBorder="1" applyAlignment="1">
      <alignment vertical="center"/>
    </xf>
    <xf numFmtId="166" fontId="4" fillId="2" borderId="6" xfId="0" applyNumberFormat="1" applyFont="1" applyFill="1" applyBorder="1" applyAlignment="1">
      <alignment vertical="center"/>
    </xf>
    <xf numFmtId="171" fontId="4" fillId="2" borderId="0" xfId="0" applyNumberFormat="1" applyFont="1" applyFill="1" applyAlignment="1">
      <alignment vertical="center"/>
    </xf>
    <xf numFmtId="171" fontId="4" fillId="0" borderId="0" xfId="4" applyNumberFormat="1" applyFont="1" applyAlignment="1">
      <alignment horizontal="right" vertical="center"/>
    </xf>
    <xf numFmtId="171" fontId="4" fillId="0" borderId="0" xfId="0" applyNumberFormat="1" applyFont="1" applyAlignment="1">
      <alignment vertical="center"/>
    </xf>
    <xf numFmtId="166" fontId="4" fillId="0" borderId="0" xfId="4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1" xfId="4" applyNumberFormat="1" applyFont="1" applyBorder="1" applyAlignment="1">
      <alignment vertical="center"/>
    </xf>
    <xf numFmtId="165" fontId="4" fillId="0" borderId="1" xfId="4" applyNumberFormat="1" applyFont="1" applyBorder="1" applyAlignment="1">
      <alignment horizontal="center" vertical="center"/>
    </xf>
    <xf numFmtId="165" fontId="4" fillId="0" borderId="1" xfId="4" applyNumberFormat="1" applyFont="1" applyBorder="1" applyAlignment="1">
      <alignment horizontal="right" vertical="center"/>
    </xf>
    <xf numFmtId="166" fontId="4" fillId="0" borderId="1" xfId="4" applyNumberFormat="1" applyFont="1" applyBorder="1" applyAlignment="1">
      <alignment vertical="center"/>
    </xf>
    <xf numFmtId="166" fontId="4" fillId="0" borderId="1" xfId="4" applyNumberFormat="1" applyFont="1" applyBorder="1" applyAlignment="1">
      <alignment horizontal="right" vertical="center"/>
    </xf>
    <xf numFmtId="166" fontId="4" fillId="2" borderId="7" xfId="0" applyNumberFormat="1" applyFont="1" applyFill="1" applyBorder="1" applyAlignment="1">
      <alignment vertical="center"/>
    </xf>
    <xf numFmtId="166" fontId="4" fillId="0" borderId="7" xfId="0" applyNumberFormat="1" applyFont="1" applyBorder="1" applyAlignment="1">
      <alignment vertical="center"/>
    </xf>
    <xf numFmtId="166" fontId="4" fillId="2" borderId="0" xfId="3" applyNumberFormat="1" applyFont="1" applyFill="1" applyBorder="1" applyAlignment="1">
      <alignment vertical="center"/>
    </xf>
    <xf numFmtId="166" fontId="4" fillId="0" borderId="0" xfId="3" applyNumberFormat="1" applyFont="1" applyFill="1" applyBorder="1" applyAlignment="1">
      <alignment vertical="center"/>
    </xf>
    <xf numFmtId="166" fontId="4" fillId="2" borderId="3" xfId="3" applyNumberFormat="1" applyFont="1" applyFill="1" applyBorder="1" applyAlignment="1">
      <alignment vertical="center"/>
    </xf>
    <xf numFmtId="166" fontId="4" fillId="0" borderId="3" xfId="3" applyNumberFormat="1" applyFont="1" applyFill="1" applyBorder="1" applyAlignment="1">
      <alignment vertical="center"/>
    </xf>
    <xf numFmtId="166" fontId="4" fillId="0" borderId="0" xfId="5" applyNumberFormat="1" applyFont="1" applyFill="1" applyAlignment="1">
      <alignment horizontal="right" vertical="center"/>
    </xf>
    <xf numFmtId="166" fontId="4" fillId="2" borderId="0" xfId="3" applyNumberFormat="1" applyFont="1" applyFill="1" applyBorder="1" applyAlignment="1">
      <alignment horizontal="right" vertical="center"/>
    </xf>
    <xf numFmtId="165" fontId="2" fillId="0" borderId="0" xfId="4" applyNumberFormat="1" applyFont="1" applyAlignment="1">
      <alignment vertical="center"/>
    </xf>
    <xf numFmtId="166" fontId="4" fillId="2" borderId="8" xfId="4" applyNumberFormat="1" applyFont="1" applyFill="1" applyBorder="1" applyAlignment="1">
      <alignment vertical="center"/>
    </xf>
    <xf numFmtId="166" fontId="4" fillId="0" borderId="8" xfId="4" applyNumberFormat="1" applyFont="1" applyBorder="1" applyAlignment="1">
      <alignment vertical="center"/>
    </xf>
    <xf numFmtId="0" fontId="4" fillId="0" borderId="1" xfId="0" applyFont="1" applyBorder="1" applyAlignment="1">
      <alignment horizontal="justify" vertical="center"/>
    </xf>
    <xf numFmtId="166" fontId="5" fillId="0" borderId="0" xfId="0" applyNumberFormat="1" applyFont="1"/>
    <xf numFmtId="165" fontId="2" fillId="0" borderId="0" xfId="0" applyNumberFormat="1" applyFont="1" applyAlignment="1">
      <alignment horizontal="left" vertical="center"/>
    </xf>
    <xf numFmtId="166" fontId="2" fillId="0" borderId="1" xfId="1" applyNumberFormat="1" applyFont="1" applyFill="1" applyBorder="1" applyAlignment="1">
      <alignment horizontal="right" vertical="center"/>
    </xf>
    <xf numFmtId="166" fontId="2" fillId="0" borderId="1" xfId="3" applyNumberFormat="1" applyFont="1" applyFill="1" applyBorder="1" applyAlignment="1">
      <alignment horizontal="right" vertical="center"/>
    </xf>
  </cellXfs>
  <cellStyles count="7">
    <cellStyle name="Comma" xfId="1" builtinId="3"/>
    <cellStyle name="Comma 2 2" xfId="3" xr:uid="{001CFA57-5158-4A9B-BD49-D3360F4F832A}"/>
    <cellStyle name="Normal" xfId="0" builtinId="0"/>
    <cellStyle name="Normal 2 3" xfId="2" xr:uid="{F229CAA8-E50D-4833-A494-B4C556A56491}"/>
    <cellStyle name="Normal 3" xfId="6" xr:uid="{039D0D8B-94CF-4A0E-ACA4-7DBDBA279F27}"/>
    <cellStyle name="Normal 81" xfId="4" xr:uid="{59FDB0D6-2B61-47AB-BAB7-F71A20E5905F}"/>
    <cellStyle name="Percent 2 2" xfId="5" xr:uid="{25EBABA3-CAB4-4A0B-A4F5-B6544C618FD6}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2A86-1623-410A-BD8C-02C1CD27BE0F}">
  <dimension ref="A1:L158"/>
  <sheetViews>
    <sheetView tabSelected="1" zoomScale="98" zoomScaleNormal="98" zoomScaleSheetLayoutView="85" workbookViewId="0"/>
  </sheetViews>
  <sheetFormatPr defaultColWidth="8.6640625" defaultRowHeight="21.75" customHeight="1" x14ac:dyDescent="0.3"/>
  <cols>
    <col min="1" max="2" width="1.6640625" style="7" customWidth="1"/>
    <col min="3" max="3" width="43.5546875" style="7" customWidth="1"/>
    <col min="4" max="4" width="8" style="7" customWidth="1"/>
    <col min="5" max="5" width="0.5546875" style="7" customWidth="1"/>
    <col min="6" max="6" width="13.6640625" style="7" customWidth="1"/>
    <col min="7" max="7" width="0.5546875" style="7" customWidth="1"/>
    <col min="8" max="8" width="13.6640625" style="7" customWidth="1"/>
    <col min="9" max="9" width="0.5546875" style="7" customWidth="1"/>
    <col min="10" max="10" width="13.6640625" style="7" customWidth="1"/>
    <col min="11" max="11" width="0.5546875" style="7" customWidth="1"/>
    <col min="12" max="12" width="13.6640625" style="7" customWidth="1"/>
    <col min="13" max="16384" width="8.6640625" style="7"/>
  </cols>
  <sheetData>
    <row r="1" spans="1:12" ht="21.75" customHeight="1" x14ac:dyDescent="0.3">
      <c r="A1" s="1" t="s">
        <v>0</v>
      </c>
      <c r="B1" s="2"/>
      <c r="C1" s="3"/>
      <c r="D1" s="4"/>
      <c r="E1" s="3"/>
      <c r="F1" s="5"/>
      <c r="G1" s="5"/>
      <c r="H1" s="5"/>
      <c r="I1" s="6"/>
      <c r="J1" s="5"/>
      <c r="K1" s="5"/>
      <c r="L1" s="5"/>
    </row>
    <row r="2" spans="1:12" ht="21.75" customHeight="1" x14ac:dyDescent="0.3">
      <c r="A2" s="2" t="s">
        <v>1</v>
      </c>
      <c r="B2" s="2"/>
      <c r="C2" s="3"/>
      <c r="D2" s="4"/>
      <c r="E2" s="3"/>
      <c r="F2" s="5"/>
      <c r="G2" s="5"/>
      <c r="H2" s="5"/>
      <c r="I2" s="6"/>
      <c r="J2" s="5"/>
      <c r="K2" s="5"/>
      <c r="L2" s="5"/>
    </row>
    <row r="3" spans="1:12" ht="21.75" customHeight="1" x14ac:dyDescent="0.3">
      <c r="A3" s="8" t="s">
        <v>2</v>
      </c>
      <c r="B3" s="8"/>
      <c r="C3" s="9"/>
      <c r="D3" s="10"/>
      <c r="E3" s="9"/>
      <c r="F3" s="11"/>
      <c r="G3" s="11"/>
      <c r="H3" s="11"/>
      <c r="I3" s="12"/>
      <c r="J3" s="11"/>
      <c r="K3" s="11"/>
      <c r="L3" s="11"/>
    </row>
    <row r="4" spans="1:12" ht="15" customHeight="1" x14ac:dyDescent="0.3">
      <c r="A4" s="2"/>
      <c r="B4" s="2"/>
      <c r="C4" s="3"/>
      <c r="D4" s="4"/>
      <c r="E4" s="3"/>
      <c r="F4" s="5"/>
      <c r="G4" s="5"/>
      <c r="H4" s="5"/>
      <c r="I4" s="6"/>
      <c r="J4" s="5"/>
      <c r="K4" s="5"/>
      <c r="L4" s="5"/>
    </row>
    <row r="5" spans="1:12" ht="18.45" customHeight="1" x14ac:dyDescent="0.3">
      <c r="A5" s="2"/>
      <c r="B5" s="2"/>
      <c r="C5" s="3"/>
      <c r="D5" s="4"/>
      <c r="E5" s="3"/>
      <c r="F5" s="114" t="s">
        <v>3</v>
      </c>
      <c r="G5" s="114"/>
      <c r="H5" s="114"/>
      <c r="I5" s="13"/>
      <c r="J5" s="114" t="s">
        <v>4</v>
      </c>
      <c r="K5" s="114"/>
      <c r="L5" s="114"/>
    </row>
    <row r="6" spans="1:12" ht="18.45" customHeight="1" x14ac:dyDescent="0.3">
      <c r="A6" s="3"/>
      <c r="B6" s="3"/>
      <c r="C6" s="3"/>
      <c r="D6" s="4"/>
      <c r="E6" s="2"/>
      <c r="F6" s="14" t="s">
        <v>5</v>
      </c>
      <c r="G6" s="15"/>
      <c r="H6" s="14" t="s">
        <v>6</v>
      </c>
      <c r="I6" s="16"/>
      <c r="J6" s="14" t="s">
        <v>5</v>
      </c>
      <c r="K6" s="15"/>
      <c r="L6" s="14" t="s">
        <v>6</v>
      </c>
    </row>
    <row r="7" spans="1:12" ht="18.45" customHeight="1" x14ac:dyDescent="0.3">
      <c r="A7" s="3"/>
      <c r="B7" s="3"/>
      <c r="C7" s="3"/>
      <c r="D7" s="17" t="s">
        <v>7</v>
      </c>
      <c r="E7" s="2"/>
      <c r="F7" s="18" t="s">
        <v>8</v>
      </c>
      <c r="G7" s="15"/>
      <c r="H7" s="18" t="s">
        <v>8</v>
      </c>
      <c r="I7" s="19"/>
      <c r="J7" s="18" t="s">
        <v>8</v>
      </c>
      <c r="K7" s="15"/>
      <c r="L7" s="18" t="s">
        <v>8</v>
      </c>
    </row>
    <row r="8" spans="1:12" ht="18.45" customHeight="1" x14ac:dyDescent="0.3">
      <c r="A8" s="1" t="s">
        <v>9</v>
      </c>
      <c r="B8" s="20"/>
      <c r="C8" s="20"/>
      <c r="D8" s="21"/>
      <c r="E8" s="20"/>
      <c r="F8" s="22"/>
      <c r="G8" s="23"/>
      <c r="H8" s="23"/>
      <c r="I8" s="24"/>
      <c r="J8" s="22"/>
      <c r="K8" s="23"/>
      <c r="L8" s="23"/>
    </row>
    <row r="9" spans="1:12" ht="5.0999999999999996" customHeight="1" x14ac:dyDescent="0.3">
      <c r="A9" s="1"/>
      <c r="B9" s="20"/>
      <c r="C9" s="20"/>
      <c r="D9" s="21"/>
      <c r="E9" s="20"/>
      <c r="F9" s="22"/>
      <c r="G9" s="23"/>
      <c r="H9" s="23"/>
      <c r="I9" s="24"/>
      <c r="J9" s="22"/>
      <c r="K9" s="23"/>
      <c r="L9" s="23"/>
    </row>
    <row r="10" spans="1:12" ht="18.45" customHeight="1" x14ac:dyDescent="0.3">
      <c r="A10" s="1" t="s">
        <v>10</v>
      </c>
      <c r="B10" s="20"/>
      <c r="C10" s="20"/>
      <c r="D10" s="21"/>
      <c r="E10" s="20"/>
      <c r="F10" s="22"/>
      <c r="G10" s="23"/>
      <c r="H10" s="23"/>
      <c r="I10" s="24"/>
      <c r="J10" s="22"/>
      <c r="K10" s="23"/>
      <c r="L10" s="23"/>
    </row>
    <row r="11" spans="1:12" ht="5.0999999999999996" customHeight="1" x14ac:dyDescent="0.3">
      <c r="A11" s="1"/>
      <c r="B11" s="20"/>
      <c r="C11" s="20"/>
      <c r="D11" s="21"/>
      <c r="E11" s="20"/>
      <c r="F11" s="22"/>
      <c r="G11" s="23"/>
      <c r="H11" s="23"/>
      <c r="I11" s="24"/>
      <c r="J11" s="22"/>
      <c r="K11" s="23"/>
      <c r="L11" s="23"/>
    </row>
    <row r="12" spans="1:12" ht="18.45" customHeight="1" x14ac:dyDescent="0.3">
      <c r="A12" s="20" t="s">
        <v>11</v>
      </c>
      <c r="B12" s="20"/>
      <c r="C12" s="20"/>
      <c r="D12" s="21">
        <v>11</v>
      </c>
      <c r="E12" s="20"/>
      <c r="F12" s="22">
        <v>13196662137</v>
      </c>
      <c r="G12" s="23"/>
      <c r="H12" s="23">
        <v>14235987519</v>
      </c>
      <c r="I12" s="23"/>
      <c r="J12" s="22">
        <v>2777392726</v>
      </c>
      <c r="K12" s="23"/>
      <c r="L12" s="23">
        <v>12041922817</v>
      </c>
    </row>
    <row r="13" spans="1:12" ht="18.45" customHeight="1" x14ac:dyDescent="0.3">
      <c r="A13" s="25" t="s">
        <v>12</v>
      </c>
      <c r="B13" s="25"/>
      <c r="C13" s="20"/>
      <c r="D13" s="21">
        <v>12</v>
      </c>
      <c r="E13" s="20"/>
      <c r="F13" s="22">
        <v>937314</v>
      </c>
      <c r="G13" s="23"/>
      <c r="H13" s="23">
        <v>202564907</v>
      </c>
      <c r="I13" s="23"/>
      <c r="J13" s="22">
        <v>0</v>
      </c>
      <c r="K13" s="23"/>
      <c r="L13" s="23">
        <v>0</v>
      </c>
    </row>
    <row r="14" spans="1:12" ht="18.45" customHeight="1" x14ac:dyDescent="0.3">
      <c r="A14" s="25" t="s">
        <v>13</v>
      </c>
      <c r="B14" s="25"/>
      <c r="C14" s="25"/>
      <c r="D14" s="21">
        <v>13</v>
      </c>
      <c r="E14" s="20"/>
      <c r="F14" s="22">
        <v>474549140</v>
      </c>
      <c r="G14" s="23"/>
      <c r="H14" s="23">
        <v>561100725</v>
      </c>
      <c r="I14" s="23"/>
      <c r="J14" s="22">
        <v>0</v>
      </c>
      <c r="K14" s="23"/>
      <c r="L14" s="23">
        <v>0</v>
      </c>
    </row>
    <row r="15" spans="1:12" ht="18.45" customHeight="1" x14ac:dyDescent="0.3">
      <c r="A15" s="25" t="s">
        <v>14</v>
      </c>
      <c r="B15" s="25"/>
      <c r="C15" s="25"/>
      <c r="D15" s="21" t="s">
        <v>15</v>
      </c>
      <c r="E15" s="20"/>
      <c r="F15" s="22">
        <v>10885957790</v>
      </c>
      <c r="G15" s="23"/>
      <c r="H15" s="23">
        <v>19966854672</v>
      </c>
      <c r="I15" s="23"/>
      <c r="J15" s="22">
        <v>3293237472</v>
      </c>
      <c r="K15" s="23"/>
      <c r="L15" s="23">
        <v>6916899722</v>
      </c>
    </row>
    <row r="16" spans="1:12" ht="18.45" customHeight="1" x14ac:dyDescent="0.3">
      <c r="A16" s="25" t="s">
        <v>16</v>
      </c>
      <c r="B16" s="25"/>
      <c r="C16" s="25"/>
      <c r="D16" s="21">
        <v>15</v>
      </c>
      <c r="E16" s="20"/>
      <c r="F16" s="22">
        <v>1879515065</v>
      </c>
      <c r="G16" s="23"/>
      <c r="H16" s="23">
        <v>1640801789</v>
      </c>
      <c r="I16" s="23"/>
      <c r="J16" s="22">
        <v>1489890714</v>
      </c>
      <c r="K16" s="23"/>
      <c r="L16" s="23">
        <v>1144021798</v>
      </c>
    </row>
    <row r="17" spans="1:12" ht="18.45" customHeight="1" x14ac:dyDescent="0.3">
      <c r="A17" s="25" t="s">
        <v>17</v>
      </c>
      <c r="B17" s="25"/>
      <c r="C17" s="25"/>
      <c r="D17" s="4" t="s">
        <v>18</v>
      </c>
      <c r="E17" s="20"/>
      <c r="F17" s="22">
        <v>2593005313</v>
      </c>
      <c r="G17" s="23"/>
      <c r="H17" s="23">
        <v>2818701226</v>
      </c>
      <c r="I17" s="23"/>
      <c r="J17" s="22">
        <v>610348970</v>
      </c>
      <c r="K17" s="23"/>
      <c r="L17" s="23">
        <v>392344712</v>
      </c>
    </row>
    <row r="18" spans="1:12" ht="18.45" customHeight="1" x14ac:dyDescent="0.3">
      <c r="A18" s="25" t="s">
        <v>19</v>
      </c>
      <c r="B18" s="25"/>
      <c r="C18" s="25"/>
      <c r="D18" s="26" t="s">
        <v>20</v>
      </c>
      <c r="E18" s="20"/>
      <c r="F18" s="22">
        <v>84000009</v>
      </c>
      <c r="G18" s="23"/>
      <c r="H18" s="23">
        <v>105700008</v>
      </c>
      <c r="I18" s="23"/>
      <c r="J18" s="22">
        <v>84000009</v>
      </c>
      <c r="K18" s="23"/>
      <c r="L18" s="23">
        <v>105700008</v>
      </c>
    </row>
    <row r="19" spans="1:12" ht="18.45" customHeight="1" x14ac:dyDescent="0.3">
      <c r="A19" s="25" t="s">
        <v>21</v>
      </c>
      <c r="B19" s="25"/>
      <c r="C19" s="25"/>
      <c r="D19" s="21">
        <v>40</v>
      </c>
      <c r="E19" s="20"/>
      <c r="F19" s="22">
        <v>0</v>
      </c>
      <c r="G19" s="23"/>
      <c r="H19" s="23">
        <v>0</v>
      </c>
      <c r="I19" s="23"/>
      <c r="J19" s="22">
        <v>0</v>
      </c>
      <c r="K19" s="23"/>
      <c r="L19" s="23">
        <v>1000000000</v>
      </c>
    </row>
    <row r="20" spans="1:12" ht="18.45" customHeight="1" x14ac:dyDescent="0.3">
      <c r="A20" s="25" t="s">
        <v>22</v>
      </c>
      <c r="B20" s="25"/>
      <c r="C20" s="25"/>
      <c r="D20" s="21"/>
      <c r="E20" s="20"/>
      <c r="F20" s="22"/>
      <c r="G20" s="23"/>
      <c r="H20" s="23"/>
      <c r="I20" s="23"/>
      <c r="J20" s="22"/>
      <c r="K20" s="23"/>
      <c r="L20" s="23"/>
    </row>
    <row r="21" spans="1:12" ht="18.45" customHeight="1" x14ac:dyDescent="0.3">
      <c r="A21" s="25"/>
      <c r="B21" s="25" t="s">
        <v>23</v>
      </c>
      <c r="C21" s="25"/>
      <c r="D21" s="21">
        <v>40</v>
      </c>
      <c r="E21" s="20"/>
      <c r="F21" s="22">
        <v>91744400</v>
      </c>
      <c r="G21" s="23"/>
      <c r="H21" s="23">
        <v>91744400</v>
      </c>
      <c r="I21" s="23"/>
      <c r="J21" s="22">
        <v>525184400</v>
      </c>
      <c r="K21" s="23"/>
      <c r="L21" s="23">
        <v>139504400</v>
      </c>
    </row>
    <row r="22" spans="1:12" ht="18.45" customHeight="1" x14ac:dyDescent="0.3">
      <c r="A22" s="25" t="s">
        <v>24</v>
      </c>
      <c r="B22" s="25"/>
      <c r="C22" s="25"/>
      <c r="D22" s="21">
        <v>17</v>
      </c>
      <c r="E22" s="20"/>
      <c r="F22" s="22">
        <v>11430850962</v>
      </c>
      <c r="G22" s="23"/>
      <c r="H22" s="23">
        <v>10801483794</v>
      </c>
      <c r="I22" s="23"/>
      <c r="J22" s="22">
        <v>894762218</v>
      </c>
      <c r="K22" s="23"/>
      <c r="L22" s="23">
        <v>771220275</v>
      </c>
    </row>
    <row r="23" spans="1:12" ht="18.45" customHeight="1" x14ac:dyDescent="0.3">
      <c r="A23" s="25" t="s">
        <v>25</v>
      </c>
      <c r="B23" s="25"/>
      <c r="C23" s="25"/>
      <c r="D23" s="21">
        <v>7</v>
      </c>
      <c r="E23" s="20"/>
      <c r="F23" s="22">
        <v>12187213</v>
      </c>
      <c r="G23" s="23"/>
      <c r="H23" s="23">
        <v>14621368</v>
      </c>
      <c r="I23" s="23"/>
      <c r="J23" s="22">
        <v>0</v>
      </c>
      <c r="K23" s="23"/>
      <c r="L23" s="23">
        <v>0</v>
      </c>
    </row>
    <row r="24" spans="1:12" ht="18.45" customHeight="1" x14ac:dyDescent="0.3">
      <c r="A24" s="25" t="s">
        <v>26</v>
      </c>
      <c r="B24" s="25"/>
      <c r="C24" s="25"/>
      <c r="D24" s="21">
        <v>18</v>
      </c>
      <c r="E24" s="20"/>
      <c r="F24" s="27">
        <v>174000000</v>
      </c>
      <c r="G24" s="23"/>
      <c r="H24" s="24">
        <v>0</v>
      </c>
      <c r="I24" s="23"/>
      <c r="J24" s="27">
        <v>0</v>
      </c>
      <c r="K24" s="23"/>
      <c r="L24" s="23">
        <v>0</v>
      </c>
    </row>
    <row r="25" spans="1:12" ht="18.45" customHeight="1" x14ac:dyDescent="0.3">
      <c r="A25" s="20" t="s">
        <v>27</v>
      </c>
      <c r="B25" s="20"/>
      <c r="C25" s="20"/>
      <c r="D25" s="21"/>
      <c r="E25" s="20"/>
      <c r="F25" s="28">
        <v>999653579</v>
      </c>
      <c r="G25" s="23"/>
      <c r="H25" s="29">
        <v>1269166167</v>
      </c>
      <c r="I25" s="23"/>
      <c r="J25" s="28">
        <v>473130820</v>
      </c>
      <c r="K25" s="23"/>
      <c r="L25" s="29">
        <v>558615369</v>
      </c>
    </row>
    <row r="26" spans="1:12" ht="5.0999999999999996" customHeight="1" x14ac:dyDescent="0.3">
      <c r="A26" s="20"/>
      <c r="B26" s="25"/>
      <c r="C26" s="20"/>
      <c r="D26" s="21"/>
      <c r="E26" s="20"/>
      <c r="F26" s="22"/>
      <c r="G26" s="23"/>
      <c r="H26" s="23"/>
      <c r="I26" s="24"/>
      <c r="J26" s="22"/>
      <c r="K26" s="23"/>
      <c r="L26" s="23"/>
    </row>
    <row r="27" spans="1:12" ht="18.45" customHeight="1" x14ac:dyDescent="0.3">
      <c r="A27" s="1" t="s">
        <v>28</v>
      </c>
      <c r="B27" s="20"/>
      <c r="C27" s="20"/>
      <c r="D27" s="21"/>
      <c r="E27" s="20"/>
      <c r="F27" s="30">
        <f>SUM(F12:F25)</f>
        <v>41823062922</v>
      </c>
      <c r="G27" s="23"/>
      <c r="H27" s="31">
        <f>SUM(H12:H25)</f>
        <v>51708726575</v>
      </c>
      <c r="I27" s="24"/>
      <c r="J27" s="30">
        <f>SUM(J12:J25)</f>
        <v>10147947329</v>
      </c>
      <c r="K27" s="23"/>
      <c r="L27" s="31">
        <f>SUM(L12:L25)</f>
        <v>23070229101</v>
      </c>
    </row>
    <row r="28" spans="1:12" ht="6" customHeight="1" x14ac:dyDescent="0.3">
      <c r="A28" s="1"/>
      <c r="B28" s="20"/>
      <c r="C28" s="20"/>
      <c r="D28" s="21"/>
      <c r="E28" s="20"/>
      <c r="F28" s="22"/>
      <c r="G28" s="23"/>
      <c r="H28" s="23"/>
      <c r="I28" s="24"/>
      <c r="J28" s="22"/>
      <c r="K28" s="23"/>
      <c r="L28" s="23"/>
    </row>
    <row r="29" spans="1:12" ht="18.45" customHeight="1" x14ac:dyDescent="0.3">
      <c r="A29" s="1" t="s">
        <v>29</v>
      </c>
      <c r="B29" s="20"/>
      <c r="C29" s="20"/>
      <c r="D29" s="21"/>
      <c r="E29" s="20"/>
      <c r="F29" s="22"/>
      <c r="G29" s="23"/>
      <c r="H29" s="23"/>
      <c r="I29" s="24"/>
      <c r="J29" s="22"/>
      <c r="K29" s="23"/>
      <c r="L29" s="23"/>
    </row>
    <row r="30" spans="1:12" ht="5.0999999999999996" customHeight="1" x14ac:dyDescent="0.3">
      <c r="A30" s="1"/>
      <c r="B30" s="20"/>
      <c r="C30" s="20"/>
      <c r="D30" s="21"/>
      <c r="E30" s="20"/>
      <c r="F30" s="22"/>
      <c r="G30" s="23"/>
      <c r="H30" s="23"/>
      <c r="I30" s="24"/>
      <c r="J30" s="22"/>
      <c r="K30" s="23"/>
      <c r="L30" s="23"/>
    </row>
    <row r="31" spans="1:12" ht="18.45" customHeight="1" x14ac:dyDescent="0.3">
      <c r="A31" s="25" t="s">
        <v>30</v>
      </c>
      <c r="B31" s="25"/>
      <c r="C31" s="25"/>
      <c r="D31" s="21">
        <v>15</v>
      </c>
      <c r="E31" s="20"/>
      <c r="F31" s="22">
        <v>2140345979</v>
      </c>
      <c r="G31" s="23"/>
      <c r="H31" s="23">
        <v>3816983719</v>
      </c>
      <c r="I31" s="23"/>
      <c r="J31" s="22">
        <v>589459371</v>
      </c>
      <c r="K31" s="23"/>
      <c r="L31" s="23">
        <v>1879293246</v>
      </c>
    </row>
    <row r="32" spans="1:12" ht="18.45" customHeight="1" x14ac:dyDescent="0.3">
      <c r="A32" s="25" t="s">
        <v>31</v>
      </c>
      <c r="B32" s="25"/>
      <c r="C32" s="25"/>
      <c r="D32" s="21">
        <v>19</v>
      </c>
      <c r="E32" s="20"/>
      <c r="F32" s="22">
        <v>47844555661</v>
      </c>
      <c r="G32" s="23"/>
      <c r="H32" s="23">
        <v>41446053052</v>
      </c>
      <c r="I32" s="23"/>
      <c r="J32" s="22">
        <v>4104641269</v>
      </c>
      <c r="K32" s="23"/>
      <c r="L32" s="23">
        <v>3847391269</v>
      </c>
    </row>
    <row r="33" spans="1:12" ht="18.45" customHeight="1" x14ac:dyDescent="0.3">
      <c r="A33" s="25" t="s">
        <v>32</v>
      </c>
      <c r="B33" s="25"/>
      <c r="C33" s="25"/>
      <c r="D33" s="21">
        <v>19</v>
      </c>
      <c r="E33" s="20"/>
      <c r="F33" s="22">
        <v>2967265719</v>
      </c>
      <c r="G33" s="23"/>
      <c r="H33" s="23">
        <v>2925665326</v>
      </c>
      <c r="I33" s="23"/>
      <c r="J33" s="22">
        <v>2829729090</v>
      </c>
      <c r="K33" s="23"/>
      <c r="L33" s="23">
        <v>2829729090</v>
      </c>
    </row>
    <row r="34" spans="1:12" ht="18.45" customHeight="1" x14ac:dyDescent="0.3">
      <c r="A34" s="20" t="s">
        <v>33</v>
      </c>
      <c r="B34" s="25"/>
      <c r="C34" s="25"/>
      <c r="D34" s="21">
        <v>19</v>
      </c>
      <c r="E34" s="20"/>
      <c r="F34" s="22">
        <v>0</v>
      </c>
      <c r="G34" s="23"/>
      <c r="H34" s="23">
        <v>0</v>
      </c>
      <c r="I34" s="23"/>
      <c r="J34" s="22">
        <v>179613564890</v>
      </c>
      <c r="K34" s="23"/>
      <c r="L34" s="23">
        <v>171687735643</v>
      </c>
    </row>
    <row r="35" spans="1:12" ht="18.45" customHeight="1" x14ac:dyDescent="0.3">
      <c r="A35" s="25" t="s">
        <v>34</v>
      </c>
      <c r="B35" s="25"/>
      <c r="C35" s="25"/>
      <c r="D35" s="21"/>
      <c r="E35" s="3"/>
      <c r="F35" s="22"/>
      <c r="G35" s="23"/>
      <c r="H35" s="23"/>
      <c r="I35" s="23"/>
      <c r="J35" s="22"/>
      <c r="K35" s="23"/>
      <c r="L35" s="23"/>
    </row>
    <row r="36" spans="1:12" ht="18.45" customHeight="1" x14ac:dyDescent="0.3">
      <c r="A36" s="25"/>
      <c r="B36" s="25" t="s">
        <v>35</v>
      </c>
      <c r="C36" s="25"/>
      <c r="D36" s="21" t="s">
        <v>36</v>
      </c>
      <c r="E36" s="3"/>
      <c r="F36" s="22">
        <v>4754319975</v>
      </c>
      <c r="G36" s="23"/>
      <c r="H36" s="23">
        <v>5303210627</v>
      </c>
      <c r="I36" s="23"/>
      <c r="J36" s="22">
        <v>4702319975</v>
      </c>
      <c r="K36" s="23"/>
      <c r="L36" s="23">
        <v>5251210627</v>
      </c>
    </row>
    <row r="37" spans="1:12" ht="18.45" customHeight="1" x14ac:dyDescent="0.3">
      <c r="A37" s="25" t="s">
        <v>37</v>
      </c>
      <c r="B37" s="25"/>
      <c r="C37" s="25"/>
      <c r="D37" s="21"/>
      <c r="E37" s="20"/>
      <c r="F37" s="22"/>
      <c r="G37" s="23"/>
      <c r="H37" s="23"/>
      <c r="I37" s="23"/>
      <c r="J37" s="22"/>
      <c r="K37" s="23"/>
      <c r="L37" s="23"/>
    </row>
    <row r="38" spans="1:12" ht="18.45" customHeight="1" x14ac:dyDescent="0.3">
      <c r="A38" s="25"/>
      <c r="B38" s="25" t="s">
        <v>38</v>
      </c>
      <c r="C38" s="25"/>
      <c r="D38" s="21">
        <v>40</v>
      </c>
      <c r="E38" s="20"/>
      <c r="F38" s="22">
        <v>6221886725</v>
      </c>
      <c r="G38" s="23"/>
      <c r="H38" s="23">
        <v>4460136703</v>
      </c>
      <c r="I38" s="23"/>
      <c r="J38" s="22">
        <v>2927237920</v>
      </c>
      <c r="K38" s="23"/>
      <c r="L38" s="23">
        <v>3341240079</v>
      </c>
    </row>
    <row r="39" spans="1:12" ht="18.45" customHeight="1" x14ac:dyDescent="0.3">
      <c r="A39" s="20" t="s">
        <v>39</v>
      </c>
      <c r="B39" s="20"/>
      <c r="C39" s="20"/>
      <c r="D39" s="21">
        <v>21</v>
      </c>
      <c r="E39" s="20"/>
      <c r="F39" s="22">
        <v>92798579285</v>
      </c>
      <c r="G39" s="23"/>
      <c r="H39" s="23">
        <v>93760643657</v>
      </c>
      <c r="I39" s="23"/>
      <c r="J39" s="22">
        <v>14431462594</v>
      </c>
      <c r="K39" s="23"/>
      <c r="L39" s="23">
        <v>15597047412</v>
      </c>
    </row>
    <row r="40" spans="1:12" ht="18.45" customHeight="1" x14ac:dyDescent="0.3">
      <c r="A40" s="20" t="s">
        <v>40</v>
      </c>
      <c r="B40" s="20"/>
      <c r="C40" s="20"/>
      <c r="D40" s="21"/>
      <c r="E40" s="20"/>
      <c r="F40" s="22">
        <v>0</v>
      </c>
      <c r="G40" s="23"/>
      <c r="H40" s="23">
        <v>97453779</v>
      </c>
      <c r="I40" s="23"/>
      <c r="J40" s="22">
        <v>0</v>
      </c>
      <c r="K40" s="23"/>
      <c r="L40" s="23">
        <v>0</v>
      </c>
    </row>
    <row r="41" spans="1:12" ht="18.45" customHeight="1" x14ac:dyDescent="0.3">
      <c r="A41" s="20" t="s">
        <v>41</v>
      </c>
      <c r="B41" s="20"/>
      <c r="C41" s="20"/>
      <c r="D41" s="21">
        <v>23</v>
      </c>
      <c r="E41" s="20"/>
      <c r="F41" s="22">
        <v>38078501456</v>
      </c>
      <c r="G41" s="23"/>
      <c r="H41" s="23">
        <v>39775900765</v>
      </c>
      <c r="I41" s="23"/>
      <c r="J41" s="22">
        <v>886442635</v>
      </c>
      <c r="K41" s="23"/>
      <c r="L41" s="23">
        <v>567370005</v>
      </c>
    </row>
    <row r="42" spans="1:12" ht="18.45" customHeight="1" x14ac:dyDescent="0.3">
      <c r="A42" s="20" t="s">
        <v>42</v>
      </c>
      <c r="B42" s="20"/>
      <c r="C42" s="20"/>
      <c r="D42" s="21">
        <v>22</v>
      </c>
      <c r="E42" s="20"/>
      <c r="F42" s="22">
        <v>2179379438</v>
      </c>
      <c r="G42" s="23"/>
      <c r="H42" s="23">
        <v>2219765004</v>
      </c>
      <c r="I42" s="23"/>
      <c r="J42" s="22">
        <v>399686724</v>
      </c>
      <c r="K42" s="23"/>
      <c r="L42" s="23">
        <v>362012204</v>
      </c>
    </row>
    <row r="43" spans="1:12" ht="18.45" customHeight="1" x14ac:dyDescent="0.3">
      <c r="A43" s="20" t="s">
        <v>43</v>
      </c>
      <c r="B43" s="20"/>
      <c r="C43" s="20"/>
      <c r="D43" s="21">
        <v>24</v>
      </c>
      <c r="E43" s="20"/>
      <c r="F43" s="22">
        <v>36089835841</v>
      </c>
      <c r="G43" s="23"/>
      <c r="H43" s="23">
        <v>36089835841</v>
      </c>
      <c r="I43" s="23"/>
      <c r="J43" s="22">
        <v>0</v>
      </c>
      <c r="K43" s="23"/>
      <c r="L43" s="23">
        <v>0</v>
      </c>
    </row>
    <row r="44" spans="1:12" ht="18.45" customHeight="1" x14ac:dyDescent="0.3">
      <c r="A44" s="20" t="s">
        <v>44</v>
      </c>
      <c r="B44" s="20"/>
      <c r="C44" s="20"/>
      <c r="D44" s="21">
        <v>32</v>
      </c>
      <c r="E44" s="20"/>
      <c r="F44" s="22">
        <v>3324870779</v>
      </c>
      <c r="G44" s="23"/>
      <c r="H44" s="23">
        <v>3319427975</v>
      </c>
      <c r="I44" s="23"/>
      <c r="J44" s="22">
        <v>0</v>
      </c>
      <c r="K44" s="23"/>
      <c r="L44" s="23">
        <v>0</v>
      </c>
    </row>
    <row r="45" spans="1:12" ht="18.45" customHeight="1" x14ac:dyDescent="0.3">
      <c r="A45" s="20" t="s">
        <v>25</v>
      </c>
      <c r="B45" s="20"/>
      <c r="C45" s="20"/>
      <c r="D45" s="21">
        <v>7</v>
      </c>
      <c r="E45" s="20"/>
      <c r="F45" s="22">
        <v>0</v>
      </c>
      <c r="G45" s="23"/>
      <c r="H45" s="23">
        <v>9798910</v>
      </c>
      <c r="I45" s="23"/>
      <c r="J45" s="22">
        <v>0</v>
      </c>
      <c r="K45" s="23"/>
      <c r="L45" s="23">
        <v>0</v>
      </c>
    </row>
    <row r="46" spans="1:12" ht="18.45" customHeight="1" x14ac:dyDescent="0.3">
      <c r="A46" s="20" t="s">
        <v>45</v>
      </c>
      <c r="B46" s="20"/>
      <c r="C46" s="20"/>
      <c r="D46" s="21">
        <v>40</v>
      </c>
      <c r="E46" s="20"/>
      <c r="F46" s="32">
        <v>3480500990</v>
      </c>
      <c r="G46" s="23"/>
      <c r="H46" s="33">
        <v>3876491469</v>
      </c>
      <c r="I46" s="23"/>
      <c r="J46" s="32">
        <v>121117725</v>
      </c>
      <c r="K46" s="23"/>
      <c r="L46" s="33">
        <v>120726739</v>
      </c>
    </row>
    <row r="47" spans="1:12" ht="5.0999999999999996" customHeight="1" x14ac:dyDescent="0.3">
      <c r="A47" s="20"/>
      <c r="B47" s="20"/>
      <c r="C47" s="20"/>
      <c r="D47" s="21"/>
      <c r="E47" s="20"/>
      <c r="F47" s="22"/>
      <c r="G47" s="23"/>
      <c r="H47" s="23"/>
      <c r="I47" s="23"/>
      <c r="J47" s="22"/>
      <c r="K47" s="23"/>
      <c r="L47" s="23"/>
    </row>
    <row r="48" spans="1:12" ht="18.45" customHeight="1" x14ac:dyDescent="0.3">
      <c r="A48" s="1" t="s">
        <v>46</v>
      </c>
      <c r="B48" s="20"/>
      <c r="C48" s="20"/>
      <c r="D48" s="21"/>
      <c r="E48" s="20"/>
      <c r="F48" s="30">
        <f>SUM(F31:F46)</f>
        <v>239880041848</v>
      </c>
      <c r="G48" s="23"/>
      <c r="H48" s="31">
        <f>SUM(H31:H46)</f>
        <v>237101366827</v>
      </c>
      <c r="I48" s="24"/>
      <c r="J48" s="30">
        <f>SUM(J31:J46)</f>
        <v>210605662193</v>
      </c>
      <c r="K48" s="23"/>
      <c r="L48" s="31">
        <f>SUM(L31:L46)</f>
        <v>205483756314</v>
      </c>
    </row>
    <row r="49" spans="1:12" ht="5.0999999999999996" customHeight="1" x14ac:dyDescent="0.3">
      <c r="A49" s="1"/>
      <c r="B49" s="1"/>
      <c r="C49" s="20"/>
      <c r="D49" s="21"/>
      <c r="E49" s="20"/>
      <c r="F49" s="22"/>
      <c r="G49" s="23"/>
      <c r="H49" s="23"/>
      <c r="I49" s="24"/>
      <c r="J49" s="22"/>
      <c r="K49" s="23"/>
      <c r="L49" s="23"/>
    </row>
    <row r="50" spans="1:12" ht="18.45" customHeight="1" thickBot="1" x14ac:dyDescent="0.35">
      <c r="A50" s="1" t="s">
        <v>47</v>
      </c>
      <c r="B50" s="1"/>
      <c r="C50" s="20"/>
      <c r="D50" s="21"/>
      <c r="E50" s="20"/>
      <c r="F50" s="34">
        <f>SUM(F48,F27)</f>
        <v>281703104770</v>
      </c>
      <c r="G50" s="23"/>
      <c r="H50" s="35">
        <f>SUM(H48,H27)</f>
        <v>288810093402</v>
      </c>
      <c r="I50" s="36"/>
      <c r="J50" s="34">
        <f>SUM(J48,J27)</f>
        <v>220753609522</v>
      </c>
      <c r="K50" s="23"/>
      <c r="L50" s="35">
        <f>SUM(L48,L27)</f>
        <v>228553985415</v>
      </c>
    </row>
    <row r="51" spans="1:12" ht="24" customHeight="1" thickTop="1" x14ac:dyDescent="0.3">
      <c r="A51" s="1"/>
      <c r="B51" s="1"/>
      <c r="C51" s="20"/>
      <c r="D51" s="21"/>
      <c r="E51" s="20"/>
      <c r="F51" s="37"/>
      <c r="G51" s="23"/>
      <c r="H51" s="37"/>
      <c r="I51" s="36"/>
      <c r="J51" s="37"/>
      <c r="K51" s="23"/>
      <c r="L51" s="37"/>
    </row>
    <row r="52" spans="1:12" ht="24" customHeight="1" x14ac:dyDescent="0.3">
      <c r="A52" s="1"/>
      <c r="B52" s="1"/>
      <c r="C52" s="20"/>
      <c r="D52" s="21"/>
      <c r="E52" s="20"/>
      <c r="F52" s="37"/>
      <c r="G52" s="23"/>
      <c r="H52" s="37"/>
      <c r="I52" s="36"/>
      <c r="J52" s="37"/>
      <c r="K52" s="23"/>
      <c r="L52" s="37"/>
    </row>
    <row r="53" spans="1:12" ht="18.600000000000001" customHeight="1" x14ac:dyDescent="0.3">
      <c r="A53" s="38" t="s">
        <v>48</v>
      </c>
      <c r="B53" s="3"/>
      <c r="C53" s="39"/>
      <c r="D53" s="4"/>
      <c r="E53" s="3"/>
      <c r="F53" s="5"/>
      <c r="G53" s="5"/>
      <c r="H53" s="5"/>
      <c r="I53" s="6"/>
      <c r="J53" s="5"/>
      <c r="K53" s="5"/>
      <c r="L53" s="5"/>
    </row>
    <row r="54" spans="1:12" ht="18.600000000000001" x14ac:dyDescent="0.3">
      <c r="A54" s="38"/>
      <c r="B54" s="3"/>
      <c r="C54" s="39"/>
      <c r="D54" s="4"/>
      <c r="E54" s="3"/>
      <c r="F54" s="5"/>
      <c r="G54" s="5"/>
      <c r="H54" s="5"/>
      <c r="I54" s="6"/>
      <c r="J54" s="5"/>
      <c r="K54" s="5"/>
      <c r="L54" s="5"/>
    </row>
    <row r="55" spans="1:12" ht="18.600000000000001" customHeight="1" x14ac:dyDescent="0.3">
      <c r="A55" s="38" t="s">
        <v>49</v>
      </c>
      <c r="B55" s="3"/>
      <c r="C55" s="40"/>
      <c r="D55" s="4"/>
      <c r="E55" s="3"/>
      <c r="F55" s="5"/>
      <c r="G55" s="5"/>
      <c r="H55" s="5"/>
      <c r="I55" s="6"/>
      <c r="J55" s="5"/>
      <c r="K55" s="5"/>
      <c r="L55" s="5"/>
    </row>
    <row r="56" spans="1:12" ht="18.600000000000001" customHeight="1" x14ac:dyDescent="0.3">
      <c r="A56" s="38"/>
      <c r="B56" s="3"/>
      <c r="C56" s="40"/>
      <c r="D56" s="4"/>
      <c r="E56" s="3"/>
      <c r="F56" s="5"/>
      <c r="G56" s="5"/>
      <c r="H56" s="5"/>
      <c r="I56" s="6"/>
      <c r="J56" s="5"/>
      <c r="K56" s="5"/>
      <c r="L56" s="5"/>
    </row>
    <row r="57" spans="1:12" ht="18.600000000000001" customHeight="1" x14ac:dyDescent="0.3">
      <c r="A57" s="38"/>
      <c r="B57" s="3"/>
      <c r="C57" s="40"/>
      <c r="D57" s="4"/>
      <c r="E57" s="3"/>
      <c r="F57" s="5"/>
      <c r="G57" s="5"/>
      <c r="H57" s="5"/>
      <c r="I57" s="6"/>
      <c r="J57" s="5"/>
      <c r="K57" s="5"/>
      <c r="L57" s="5"/>
    </row>
    <row r="58" spans="1:12" ht="21.9" customHeight="1" x14ac:dyDescent="0.3">
      <c r="A58" s="9" t="s">
        <v>50</v>
      </c>
      <c r="B58" s="9"/>
      <c r="C58" s="9"/>
      <c r="D58" s="10"/>
      <c r="E58" s="9"/>
      <c r="F58" s="11"/>
      <c r="G58" s="11"/>
      <c r="H58" s="11"/>
      <c r="I58" s="12"/>
      <c r="J58" s="11"/>
      <c r="K58" s="11"/>
      <c r="L58" s="11"/>
    </row>
    <row r="59" spans="1:12" ht="21.75" customHeight="1" x14ac:dyDescent="0.3">
      <c r="A59" s="2" t="str">
        <f>A1</f>
        <v>บริษัท โกลบอล เพาเวอร์ ซินเนอร์ยี่ จำกัด (มหาชน)</v>
      </c>
      <c r="B59" s="2"/>
      <c r="C59" s="3"/>
      <c r="D59" s="4"/>
      <c r="E59" s="3"/>
      <c r="F59" s="5"/>
      <c r="G59" s="5"/>
      <c r="H59" s="5"/>
      <c r="I59" s="6"/>
      <c r="J59" s="5"/>
      <c r="K59" s="5"/>
      <c r="L59" s="5"/>
    </row>
    <row r="60" spans="1:12" ht="21.75" customHeight="1" x14ac:dyDescent="0.3">
      <c r="A60" s="2" t="s">
        <v>1</v>
      </c>
      <c r="B60" s="2"/>
      <c r="C60" s="3"/>
      <c r="D60" s="4"/>
      <c r="E60" s="3"/>
      <c r="F60" s="5"/>
      <c r="G60" s="5"/>
      <c r="H60" s="5"/>
      <c r="I60" s="6"/>
      <c r="J60" s="5"/>
      <c r="K60" s="5"/>
      <c r="L60" s="5"/>
    </row>
    <row r="61" spans="1:12" ht="21.75" customHeight="1" x14ac:dyDescent="0.3">
      <c r="A61" s="8" t="str">
        <f>A3</f>
        <v>ณ วันที่ 31 ธันวาคม พ.ศ. 2566</v>
      </c>
      <c r="B61" s="8"/>
      <c r="C61" s="9"/>
      <c r="D61" s="10"/>
      <c r="E61" s="9"/>
      <c r="F61" s="11"/>
      <c r="G61" s="11"/>
      <c r="H61" s="11"/>
      <c r="I61" s="12"/>
      <c r="J61" s="11"/>
      <c r="K61" s="11"/>
      <c r="L61" s="11"/>
    </row>
    <row r="62" spans="1:12" ht="21.75" customHeight="1" x14ac:dyDescent="0.3">
      <c r="A62" s="3"/>
      <c r="B62" s="3"/>
      <c r="C62" s="3"/>
      <c r="D62" s="4"/>
      <c r="E62" s="3"/>
      <c r="F62" s="5"/>
      <c r="G62" s="5"/>
      <c r="H62" s="5"/>
      <c r="I62" s="6"/>
      <c r="J62" s="5"/>
      <c r="K62" s="5"/>
      <c r="L62" s="5"/>
    </row>
    <row r="63" spans="1:12" ht="21.75" customHeight="1" x14ac:dyDescent="0.3">
      <c r="A63" s="2"/>
      <c r="B63" s="2"/>
      <c r="C63" s="3"/>
      <c r="D63" s="4"/>
      <c r="E63" s="3"/>
      <c r="F63" s="114" t="s">
        <v>3</v>
      </c>
      <c r="G63" s="114"/>
      <c r="H63" s="114"/>
      <c r="I63" s="13"/>
      <c r="J63" s="114" t="s">
        <v>4</v>
      </c>
      <c r="K63" s="114"/>
      <c r="L63" s="114"/>
    </row>
    <row r="64" spans="1:12" ht="21.75" customHeight="1" x14ac:dyDescent="0.3">
      <c r="A64" s="3"/>
      <c r="B64" s="3"/>
      <c r="C64" s="3"/>
      <c r="D64" s="4"/>
      <c r="E64" s="2"/>
      <c r="F64" s="14" t="s">
        <v>5</v>
      </c>
      <c r="G64" s="15"/>
      <c r="H64" s="14" t="s">
        <v>6</v>
      </c>
      <c r="I64" s="16"/>
      <c r="J64" s="14" t="s">
        <v>5</v>
      </c>
      <c r="K64" s="15"/>
      <c r="L64" s="14" t="s">
        <v>6</v>
      </c>
    </row>
    <row r="65" spans="1:12" ht="21.75" customHeight="1" x14ac:dyDescent="0.3">
      <c r="A65" s="3"/>
      <c r="B65" s="3"/>
      <c r="C65" s="3"/>
      <c r="D65" s="17" t="s">
        <v>7</v>
      </c>
      <c r="E65" s="2"/>
      <c r="F65" s="18" t="s">
        <v>8</v>
      </c>
      <c r="G65" s="15"/>
      <c r="H65" s="18" t="s">
        <v>8</v>
      </c>
      <c r="I65" s="19"/>
      <c r="J65" s="18" t="s">
        <v>8</v>
      </c>
      <c r="K65" s="15"/>
      <c r="L65" s="18" t="s">
        <v>8</v>
      </c>
    </row>
    <row r="66" spans="1:12" ht="21.75" customHeight="1" x14ac:dyDescent="0.3">
      <c r="A66" s="113" t="s">
        <v>51</v>
      </c>
      <c r="B66" s="113"/>
      <c r="C66" s="113"/>
      <c r="D66" s="21"/>
      <c r="E66" s="20"/>
      <c r="F66" s="22"/>
      <c r="G66" s="23"/>
      <c r="H66" s="23"/>
      <c r="I66" s="19"/>
      <c r="J66" s="22"/>
      <c r="K66" s="23"/>
      <c r="L66" s="23"/>
    </row>
    <row r="67" spans="1:12" ht="6" customHeight="1" x14ac:dyDescent="0.3">
      <c r="A67" s="1"/>
      <c r="B67" s="20"/>
      <c r="C67" s="20"/>
      <c r="D67" s="21"/>
      <c r="E67" s="20"/>
      <c r="F67" s="22"/>
      <c r="G67" s="23"/>
      <c r="H67" s="23"/>
      <c r="I67" s="19"/>
      <c r="J67" s="22"/>
      <c r="K67" s="23"/>
      <c r="L67" s="23"/>
    </row>
    <row r="68" spans="1:12" ht="21.75" customHeight="1" x14ac:dyDescent="0.3">
      <c r="A68" s="113" t="s">
        <v>52</v>
      </c>
      <c r="B68" s="113"/>
      <c r="C68" s="113"/>
      <c r="D68" s="21"/>
      <c r="E68" s="20"/>
      <c r="F68" s="22"/>
      <c r="G68" s="23"/>
      <c r="H68" s="23"/>
      <c r="I68" s="19"/>
      <c r="J68" s="22"/>
      <c r="K68" s="23"/>
      <c r="L68" s="23"/>
    </row>
    <row r="69" spans="1:12" ht="6" customHeight="1" x14ac:dyDescent="0.3">
      <c r="A69" s="1"/>
      <c r="B69" s="20"/>
      <c r="C69" s="20"/>
      <c r="D69" s="21"/>
      <c r="E69" s="20"/>
      <c r="F69" s="22"/>
      <c r="G69" s="23"/>
      <c r="H69" s="23"/>
      <c r="I69" s="19"/>
      <c r="J69" s="22"/>
      <c r="K69" s="23"/>
      <c r="L69" s="23"/>
    </row>
    <row r="70" spans="1:12" ht="21.75" customHeight="1" x14ac:dyDescent="0.3">
      <c r="A70" s="20" t="s">
        <v>53</v>
      </c>
      <c r="B70" s="20"/>
      <c r="C70" s="20"/>
      <c r="D70" s="21" t="s">
        <v>54</v>
      </c>
      <c r="E70" s="20"/>
      <c r="F70" s="22">
        <v>7059797158</v>
      </c>
      <c r="G70" s="23"/>
      <c r="H70" s="23">
        <v>10887361980</v>
      </c>
      <c r="I70" s="23"/>
      <c r="J70" s="22">
        <v>1527444995</v>
      </c>
      <c r="K70" s="23"/>
      <c r="L70" s="23">
        <v>4939010784</v>
      </c>
    </row>
    <row r="71" spans="1:12" ht="21.75" customHeight="1" x14ac:dyDescent="0.3">
      <c r="A71" s="20" t="s">
        <v>55</v>
      </c>
      <c r="B71" s="20"/>
      <c r="C71" s="20"/>
      <c r="D71" s="21" t="s">
        <v>56</v>
      </c>
      <c r="E71" s="20"/>
      <c r="F71" s="22">
        <v>2282213556</v>
      </c>
      <c r="G71" s="23"/>
      <c r="H71" s="23">
        <v>2383052992</v>
      </c>
      <c r="I71" s="23"/>
      <c r="J71" s="22">
        <v>1047995343</v>
      </c>
      <c r="K71" s="23"/>
      <c r="L71" s="23">
        <v>1386569391</v>
      </c>
    </row>
    <row r="72" spans="1:12" ht="21.75" customHeight="1" x14ac:dyDescent="0.3">
      <c r="A72" s="20" t="s">
        <v>57</v>
      </c>
      <c r="B72" s="20"/>
      <c r="C72" s="20"/>
      <c r="D72" s="21"/>
      <c r="E72" s="20"/>
      <c r="F72" s="22">
        <v>440878158</v>
      </c>
      <c r="G72" s="23"/>
      <c r="H72" s="23">
        <v>1598008094</v>
      </c>
      <c r="I72" s="23"/>
      <c r="J72" s="22">
        <v>66263305</v>
      </c>
      <c r="K72" s="23"/>
      <c r="L72" s="23">
        <v>204549277</v>
      </c>
    </row>
    <row r="73" spans="1:12" ht="21.75" customHeight="1" x14ac:dyDescent="0.3">
      <c r="A73" s="20" t="s">
        <v>58</v>
      </c>
      <c r="B73" s="20"/>
      <c r="C73" s="20"/>
      <c r="D73" s="21">
        <v>27</v>
      </c>
      <c r="E73" s="20"/>
      <c r="F73" s="22">
        <v>110772214</v>
      </c>
      <c r="G73" s="23"/>
      <c r="H73" s="23">
        <v>3370567309</v>
      </c>
      <c r="I73" s="23"/>
      <c r="J73" s="22">
        <v>0</v>
      </c>
      <c r="K73" s="23"/>
      <c r="L73" s="23">
        <v>0</v>
      </c>
    </row>
    <row r="74" spans="1:12" ht="21.75" customHeight="1" x14ac:dyDescent="0.3">
      <c r="A74" s="20" t="s">
        <v>59</v>
      </c>
      <c r="B74" s="20"/>
      <c r="C74" s="20"/>
      <c r="D74" s="21"/>
      <c r="E74" s="20"/>
      <c r="F74" s="22">
        <v>142254390</v>
      </c>
      <c r="G74" s="23"/>
      <c r="H74" s="23">
        <v>148530661</v>
      </c>
      <c r="I74" s="23"/>
      <c r="J74" s="22">
        <v>76538768</v>
      </c>
      <c r="K74" s="23"/>
      <c r="L74" s="23">
        <v>73544930</v>
      </c>
    </row>
    <row r="75" spans="1:12" ht="21.75" customHeight="1" x14ac:dyDescent="0.3">
      <c r="A75" s="20" t="s">
        <v>60</v>
      </c>
      <c r="B75" s="20"/>
      <c r="C75" s="20"/>
      <c r="D75" s="21"/>
      <c r="E75" s="20"/>
      <c r="F75" s="22"/>
      <c r="G75" s="23"/>
      <c r="H75" s="23"/>
      <c r="I75" s="23"/>
      <c r="J75" s="22"/>
      <c r="K75" s="23"/>
      <c r="L75" s="23"/>
    </row>
    <row r="76" spans="1:12" ht="21.75" customHeight="1" x14ac:dyDescent="0.3">
      <c r="A76" s="20"/>
      <c r="B76" s="20" t="s">
        <v>61</v>
      </c>
      <c r="C76" s="20"/>
      <c r="D76" s="21">
        <v>29</v>
      </c>
      <c r="E76" s="20"/>
      <c r="F76" s="22">
        <v>4361764371</v>
      </c>
      <c r="G76" s="23"/>
      <c r="H76" s="23">
        <v>11457464750</v>
      </c>
      <c r="I76" s="23"/>
      <c r="J76" s="22">
        <v>738645724</v>
      </c>
      <c r="K76" s="23"/>
      <c r="L76" s="23">
        <v>3738148193</v>
      </c>
    </row>
    <row r="77" spans="1:12" ht="21.75" customHeight="1" x14ac:dyDescent="0.3">
      <c r="A77" s="20" t="s">
        <v>62</v>
      </c>
      <c r="B77" s="20"/>
      <c r="C77" s="20"/>
      <c r="D77" s="21"/>
      <c r="E77" s="20"/>
      <c r="F77" s="22"/>
      <c r="G77" s="23"/>
      <c r="H77" s="23"/>
      <c r="I77" s="23"/>
      <c r="J77" s="22"/>
      <c r="K77" s="23"/>
      <c r="L77" s="23"/>
    </row>
    <row r="78" spans="1:12" ht="21.75" customHeight="1" x14ac:dyDescent="0.3">
      <c r="A78" s="20"/>
      <c r="B78" s="20" t="s">
        <v>61</v>
      </c>
      <c r="C78" s="20"/>
      <c r="D78" s="21">
        <v>40</v>
      </c>
      <c r="E78" s="20"/>
      <c r="F78" s="22">
        <v>16100000000</v>
      </c>
      <c r="G78" s="23"/>
      <c r="H78" s="23">
        <v>0</v>
      </c>
      <c r="I78" s="23"/>
      <c r="J78" s="22">
        <v>17526932831</v>
      </c>
      <c r="K78" s="23"/>
      <c r="L78" s="23">
        <v>1203429500</v>
      </c>
    </row>
    <row r="79" spans="1:12" ht="21.75" customHeight="1" x14ac:dyDescent="0.3">
      <c r="A79" s="20" t="s">
        <v>63</v>
      </c>
      <c r="B79" s="20"/>
      <c r="C79" s="20"/>
      <c r="D79" s="21">
        <v>30</v>
      </c>
      <c r="E79" s="20"/>
      <c r="F79" s="22">
        <v>6498475853</v>
      </c>
      <c r="G79" s="23"/>
      <c r="H79" s="23">
        <v>0</v>
      </c>
      <c r="I79" s="23"/>
      <c r="J79" s="22">
        <v>6498475853</v>
      </c>
      <c r="K79" s="23"/>
      <c r="L79" s="23">
        <v>0</v>
      </c>
    </row>
    <row r="80" spans="1:12" ht="21.75" customHeight="1" x14ac:dyDescent="0.3">
      <c r="A80" s="20" t="s">
        <v>64</v>
      </c>
      <c r="B80" s="20"/>
      <c r="C80" s="20"/>
      <c r="D80" s="21">
        <v>7</v>
      </c>
      <c r="E80" s="20"/>
      <c r="F80" s="22">
        <v>34435516</v>
      </c>
      <c r="G80" s="23"/>
      <c r="H80" s="23">
        <v>101862824</v>
      </c>
      <c r="I80" s="19"/>
      <c r="J80" s="22">
        <v>0</v>
      </c>
      <c r="K80" s="23"/>
      <c r="L80" s="23">
        <v>0</v>
      </c>
    </row>
    <row r="81" spans="1:12" ht="21.75" customHeight="1" x14ac:dyDescent="0.3">
      <c r="A81" s="3" t="s">
        <v>65</v>
      </c>
      <c r="B81" s="20"/>
      <c r="C81" s="20"/>
      <c r="D81" s="21">
        <v>28</v>
      </c>
      <c r="E81" s="20"/>
      <c r="F81" s="41">
        <v>1636860480</v>
      </c>
      <c r="G81" s="23"/>
      <c r="H81" s="42">
        <v>2246591417</v>
      </c>
      <c r="I81" s="23"/>
      <c r="J81" s="41">
        <v>211714701</v>
      </c>
      <c r="K81" s="23"/>
      <c r="L81" s="42">
        <v>635772765</v>
      </c>
    </row>
    <row r="82" spans="1:12" ht="6" customHeight="1" x14ac:dyDescent="0.3">
      <c r="A82" s="1"/>
      <c r="B82" s="20"/>
      <c r="C82" s="20"/>
      <c r="D82" s="21"/>
      <c r="E82" s="20"/>
      <c r="F82" s="22"/>
      <c r="G82" s="23"/>
      <c r="H82" s="23"/>
      <c r="I82" s="19"/>
      <c r="J82" s="22"/>
      <c r="K82" s="23"/>
      <c r="L82" s="23"/>
    </row>
    <row r="83" spans="1:12" ht="21.75" customHeight="1" x14ac:dyDescent="0.3">
      <c r="A83" s="1" t="s">
        <v>66</v>
      </c>
      <c r="B83" s="20"/>
      <c r="C83" s="20"/>
      <c r="D83" s="21"/>
      <c r="E83" s="20"/>
      <c r="F83" s="43">
        <f>SUM(F70:F81)</f>
        <v>38667451696</v>
      </c>
      <c r="G83" s="23"/>
      <c r="H83" s="44">
        <f>SUM(H70:H81)</f>
        <v>32193440027</v>
      </c>
      <c r="I83" s="19"/>
      <c r="J83" s="43">
        <f>SUM(J70:J81)</f>
        <v>27694011520</v>
      </c>
      <c r="K83" s="23"/>
      <c r="L83" s="44">
        <f>SUM(L70:L81)</f>
        <v>12181024840</v>
      </c>
    </row>
    <row r="84" spans="1:12" ht="21.75" customHeight="1" x14ac:dyDescent="0.3">
      <c r="A84" s="1"/>
      <c r="B84" s="20"/>
      <c r="C84" s="20"/>
      <c r="D84" s="21"/>
      <c r="E84" s="20"/>
      <c r="F84" s="22"/>
      <c r="G84" s="23"/>
      <c r="H84" s="23"/>
      <c r="I84" s="19"/>
      <c r="J84" s="22"/>
      <c r="K84" s="23"/>
      <c r="L84" s="23"/>
    </row>
    <row r="85" spans="1:12" ht="21.75" customHeight="1" x14ac:dyDescent="0.3">
      <c r="A85" s="113" t="s">
        <v>67</v>
      </c>
      <c r="B85" s="113"/>
      <c r="C85" s="113"/>
      <c r="D85" s="21"/>
      <c r="E85" s="20"/>
      <c r="F85" s="22"/>
      <c r="G85" s="23"/>
      <c r="H85" s="23"/>
      <c r="I85" s="19"/>
      <c r="J85" s="22"/>
      <c r="K85" s="23"/>
      <c r="L85" s="23"/>
    </row>
    <row r="86" spans="1:12" ht="6" customHeight="1" x14ac:dyDescent="0.3">
      <c r="A86" s="1"/>
      <c r="B86" s="20"/>
      <c r="C86" s="20"/>
      <c r="D86" s="21"/>
      <c r="E86" s="20"/>
      <c r="F86" s="22"/>
      <c r="G86" s="23"/>
      <c r="H86" s="23"/>
      <c r="I86" s="19"/>
      <c r="J86" s="22"/>
      <c r="K86" s="23"/>
      <c r="L86" s="23"/>
    </row>
    <row r="87" spans="1:12" ht="21.75" customHeight="1" x14ac:dyDescent="0.3">
      <c r="A87" s="20" t="s">
        <v>68</v>
      </c>
      <c r="B87" s="20"/>
      <c r="C87" s="20"/>
      <c r="D87" s="21"/>
      <c r="E87" s="20"/>
      <c r="F87" s="22">
        <v>2250110779</v>
      </c>
      <c r="G87" s="23"/>
      <c r="H87" s="23">
        <v>2241353961</v>
      </c>
      <c r="I87" s="19"/>
      <c r="J87" s="22">
        <v>378758844</v>
      </c>
      <c r="K87" s="23"/>
      <c r="L87" s="23">
        <v>336430358</v>
      </c>
    </row>
    <row r="88" spans="1:12" ht="21.75" customHeight="1" x14ac:dyDescent="0.3">
      <c r="A88" s="20" t="s">
        <v>64</v>
      </c>
      <c r="B88" s="20"/>
      <c r="C88" s="20"/>
      <c r="D88" s="21">
        <v>7</v>
      </c>
      <c r="E88" s="20"/>
      <c r="F88" s="22">
        <v>172462664</v>
      </c>
      <c r="G88" s="23"/>
      <c r="H88" s="23">
        <v>218648881</v>
      </c>
      <c r="I88" s="19"/>
      <c r="J88" s="22">
        <v>0</v>
      </c>
      <c r="K88" s="23"/>
      <c r="L88" s="23">
        <v>0</v>
      </c>
    </row>
    <row r="89" spans="1:12" ht="21.75" customHeight="1" x14ac:dyDescent="0.3">
      <c r="A89" s="20" t="s">
        <v>69</v>
      </c>
      <c r="B89" s="20"/>
      <c r="C89" s="20"/>
      <c r="D89" s="21">
        <v>29</v>
      </c>
      <c r="E89" s="20"/>
      <c r="F89" s="22">
        <v>50780841536</v>
      </c>
      <c r="G89" s="23"/>
      <c r="H89" s="23">
        <v>46507007824</v>
      </c>
      <c r="I89" s="23"/>
      <c r="J89" s="45">
        <v>6445199296</v>
      </c>
      <c r="K89" s="23"/>
      <c r="L89" s="46">
        <v>7182200764</v>
      </c>
    </row>
    <row r="90" spans="1:12" ht="21.75" customHeight="1" x14ac:dyDescent="0.3">
      <c r="A90" s="20" t="s">
        <v>70</v>
      </c>
      <c r="B90" s="20"/>
      <c r="C90" s="20"/>
      <c r="D90" s="21">
        <v>40</v>
      </c>
      <c r="E90" s="20"/>
      <c r="F90" s="22">
        <v>0</v>
      </c>
      <c r="G90" s="23"/>
      <c r="H90" s="23">
        <v>16100000000</v>
      </c>
      <c r="I90" s="23"/>
      <c r="J90" s="45">
        <v>7809833010</v>
      </c>
      <c r="K90" s="23"/>
      <c r="L90" s="46">
        <v>25334282309</v>
      </c>
    </row>
    <row r="91" spans="1:12" ht="21.75" customHeight="1" x14ac:dyDescent="0.3">
      <c r="A91" s="20" t="s">
        <v>71</v>
      </c>
      <c r="B91" s="20"/>
      <c r="C91" s="20"/>
      <c r="D91" s="21">
        <v>30</v>
      </c>
      <c r="E91" s="20"/>
      <c r="F91" s="47">
        <v>47954701994</v>
      </c>
      <c r="G91" s="23"/>
      <c r="H91" s="5">
        <v>51449918614</v>
      </c>
      <c r="I91" s="23"/>
      <c r="J91" s="45">
        <v>47954701994</v>
      </c>
      <c r="K91" s="23"/>
      <c r="L91" s="46">
        <v>51449918614</v>
      </c>
    </row>
    <row r="92" spans="1:12" ht="21.75" customHeight="1" x14ac:dyDescent="0.3">
      <c r="A92" s="20" t="s">
        <v>72</v>
      </c>
      <c r="B92" s="20"/>
      <c r="C92" s="20"/>
      <c r="D92" s="21"/>
      <c r="E92" s="20"/>
      <c r="F92" s="47">
        <v>651097236</v>
      </c>
      <c r="G92" s="23"/>
      <c r="H92" s="5">
        <v>869883052</v>
      </c>
      <c r="I92" s="23"/>
      <c r="J92" s="48">
        <v>400281709</v>
      </c>
      <c r="K92" s="23"/>
      <c r="L92" s="36">
        <v>588348872</v>
      </c>
    </row>
    <row r="93" spans="1:12" ht="21.75" customHeight="1" x14ac:dyDescent="0.3">
      <c r="A93" s="20" t="s">
        <v>73</v>
      </c>
      <c r="B93" s="20"/>
      <c r="C93" s="20"/>
      <c r="D93" s="21">
        <v>32</v>
      </c>
      <c r="E93" s="20"/>
      <c r="F93" s="47">
        <v>8168194142</v>
      </c>
      <c r="G93" s="23"/>
      <c r="H93" s="5">
        <v>8976360099</v>
      </c>
      <c r="I93" s="23"/>
      <c r="J93" s="45">
        <v>275954042</v>
      </c>
      <c r="K93" s="23"/>
      <c r="L93" s="46">
        <v>490666635</v>
      </c>
    </row>
    <row r="94" spans="1:12" ht="21.75" customHeight="1" x14ac:dyDescent="0.3">
      <c r="A94" s="20" t="s">
        <v>74</v>
      </c>
      <c r="B94" s="20"/>
      <c r="C94" s="20"/>
      <c r="D94" s="21"/>
      <c r="E94" s="20"/>
      <c r="F94" s="47">
        <v>24640018</v>
      </c>
      <c r="G94" s="23"/>
      <c r="H94" s="5">
        <v>3346456</v>
      </c>
      <c r="I94" s="23"/>
      <c r="J94" s="22">
        <v>5891467</v>
      </c>
      <c r="K94" s="23"/>
      <c r="L94" s="23">
        <v>1694466</v>
      </c>
    </row>
    <row r="95" spans="1:12" ht="21.75" customHeight="1" x14ac:dyDescent="0.3">
      <c r="A95" s="20" t="s">
        <v>75</v>
      </c>
      <c r="B95" s="20"/>
      <c r="C95" s="20"/>
      <c r="D95" s="21" t="s">
        <v>76</v>
      </c>
      <c r="E95" s="20"/>
      <c r="F95" s="49">
        <v>15508782388</v>
      </c>
      <c r="G95" s="5"/>
      <c r="H95" s="11">
        <v>15149915810</v>
      </c>
      <c r="I95" s="23"/>
      <c r="J95" s="49">
        <v>610043309</v>
      </c>
      <c r="K95" s="23"/>
      <c r="L95" s="29">
        <v>646823946</v>
      </c>
    </row>
    <row r="96" spans="1:12" ht="6" customHeight="1" x14ac:dyDescent="0.3">
      <c r="A96" s="1"/>
      <c r="B96" s="20"/>
      <c r="C96" s="20"/>
      <c r="D96" s="21"/>
      <c r="E96" s="20"/>
      <c r="F96" s="22"/>
      <c r="G96" s="23"/>
      <c r="H96" s="23"/>
      <c r="I96" s="19"/>
      <c r="J96" s="22"/>
      <c r="K96" s="23"/>
      <c r="L96" s="23"/>
    </row>
    <row r="97" spans="1:12" ht="21.75" customHeight="1" x14ac:dyDescent="0.3">
      <c r="A97" s="113" t="s">
        <v>77</v>
      </c>
      <c r="B97" s="113"/>
      <c r="C97" s="113"/>
      <c r="D97" s="21"/>
      <c r="E97" s="20"/>
      <c r="F97" s="43">
        <f>SUM(F87:F96)</f>
        <v>125510830757</v>
      </c>
      <c r="G97" s="23"/>
      <c r="H97" s="44">
        <f>SUM(H87:H96)</f>
        <v>141516434697</v>
      </c>
      <c r="I97" s="19"/>
      <c r="J97" s="43">
        <f>SUM(J87:J96)</f>
        <v>63880663671</v>
      </c>
      <c r="K97" s="23"/>
      <c r="L97" s="44">
        <f>SUM(L87:L96)</f>
        <v>86030365964</v>
      </c>
    </row>
    <row r="98" spans="1:12" ht="6" customHeight="1" x14ac:dyDescent="0.3">
      <c r="A98" s="1"/>
      <c r="B98" s="20"/>
      <c r="C98" s="20"/>
      <c r="D98" s="21"/>
      <c r="E98" s="20"/>
      <c r="F98" s="22"/>
      <c r="G98" s="23"/>
      <c r="H98" s="23"/>
      <c r="I98" s="19"/>
      <c r="J98" s="22"/>
      <c r="K98" s="23"/>
      <c r="L98" s="23"/>
    </row>
    <row r="99" spans="1:12" ht="21.75" customHeight="1" x14ac:dyDescent="0.3">
      <c r="A99" s="113" t="s">
        <v>78</v>
      </c>
      <c r="B99" s="113"/>
      <c r="C99" s="113"/>
      <c r="D99" s="21"/>
      <c r="E99" s="20"/>
      <c r="F99" s="43">
        <f>F97+F83</f>
        <v>164178282453</v>
      </c>
      <c r="G99" s="23"/>
      <c r="H99" s="44">
        <f>H97+H83</f>
        <v>173709874724</v>
      </c>
      <c r="I99" s="19"/>
      <c r="J99" s="43">
        <f>J97+J83</f>
        <v>91574675191</v>
      </c>
      <c r="K99" s="23"/>
      <c r="L99" s="44">
        <f>L97+L83</f>
        <v>98211390804</v>
      </c>
    </row>
    <row r="100" spans="1:12" ht="21.75" customHeight="1" x14ac:dyDescent="0.3">
      <c r="A100" s="50"/>
      <c r="B100" s="50"/>
      <c r="C100" s="50"/>
      <c r="D100" s="21"/>
      <c r="E100" s="20"/>
      <c r="F100" s="51"/>
      <c r="G100" s="23"/>
      <c r="H100" s="51"/>
      <c r="I100" s="19"/>
      <c r="J100" s="51"/>
      <c r="K100" s="23"/>
      <c r="L100" s="51"/>
    </row>
    <row r="101" spans="1:12" ht="21.75" customHeight="1" x14ac:dyDescent="0.3">
      <c r="A101" s="50"/>
      <c r="B101" s="50"/>
      <c r="C101" s="50"/>
      <c r="D101" s="21"/>
      <c r="E101" s="20"/>
      <c r="F101" s="51"/>
      <c r="G101" s="23"/>
      <c r="H101" s="51"/>
      <c r="I101" s="19"/>
      <c r="J101" s="51"/>
      <c r="K101" s="23"/>
      <c r="L101" s="51"/>
    </row>
    <row r="102" spans="1:12" ht="21.75" customHeight="1" x14ac:dyDescent="0.3">
      <c r="A102" s="50"/>
      <c r="B102" s="50"/>
      <c r="C102" s="50"/>
      <c r="D102" s="21"/>
      <c r="E102" s="20"/>
      <c r="F102" s="51"/>
      <c r="G102" s="23"/>
      <c r="H102" s="51"/>
      <c r="I102" s="19"/>
      <c r="J102" s="51"/>
      <c r="K102" s="23"/>
      <c r="L102" s="51"/>
    </row>
    <row r="103" spans="1:12" ht="21.75" customHeight="1" x14ac:dyDescent="0.3">
      <c r="A103" s="50"/>
      <c r="B103" s="50"/>
      <c r="C103" s="50"/>
      <c r="D103" s="21"/>
      <c r="E103" s="20"/>
      <c r="F103" s="51"/>
      <c r="G103" s="23"/>
      <c r="H103" s="51"/>
      <c r="I103" s="19"/>
      <c r="J103" s="51"/>
      <c r="K103" s="23"/>
      <c r="L103" s="51"/>
    </row>
    <row r="104" spans="1:12" ht="21.75" customHeight="1" x14ac:dyDescent="0.3">
      <c r="A104" s="50"/>
      <c r="B104" s="50"/>
      <c r="C104" s="50"/>
      <c r="D104" s="21"/>
      <c r="E104" s="20"/>
      <c r="F104" s="51"/>
      <c r="G104" s="23"/>
      <c r="H104" s="51"/>
      <c r="I104" s="19"/>
      <c r="J104" s="51"/>
      <c r="K104" s="23"/>
      <c r="L104" s="51"/>
    </row>
    <row r="105" spans="1:12" ht="21.75" customHeight="1" x14ac:dyDescent="0.3">
      <c r="A105" s="50"/>
      <c r="B105" s="50"/>
      <c r="C105" s="50"/>
      <c r="D105" s="21"/>
      <c r="E105" s="20"/>
      <c r="F105" s="51"/>
      <c r="G105" s="23"/>
      <c r="H105" s="51"/>
      <c r="I105" s="19"/>
      <c r="J105" s="51"/>
      <c r="K105" s="23"/>
      <c r="L105" s="51"/>
    </row>
    <row r="106" spans="1:12" ht="21.75" customHeight="1" x14ac:dyDescent="0.3">
      <c r="A106" s="50"/>
      <c r="B106" s="50"/>
      <c r="C106" s="50"/>
      <c r="D106" s="21"/>
      <c r="E106" s="20"/>
      <c r="F106" s="51"/>
      <c r="G106" s="23"/>
      <c r="H106" s="51"/>
      <c r="I106" s="19"/>
      <c r="J106" s="51"/>
      <c r="K106" s="23"/>
      <c r="L106" s="51"/>
    </row>
    <row r="107" spans="1:12" ht="21.75" customHeight="1" x14ac:dyDescent="0.3">
      <c r="A107" s="50"/>
      <c r="B107" s="50"/>
      <c r="C107" s="50"/>
      <c r="D107" s="21"/>
      <c r="E107" s="20"/>
      <c r="F107" s="51"/>
      <c r="G107" s="23"/>
      <c r="H107" s="51"/>
      <c r="I107" s="19"/>
      <c r="J107" s="51"/>
      <c r="K107" s="23"/>
      <c r="L107" s="51"/>
    </row>
    <row r="108" spans="1:12" ht="21.9" customHeight="1" x14ac:dyDescent="0.3">
      <c r="A108" s="9" t="str">
        <f>A58</f>
        <v>หมายเหตุประกอบงบการเงินรวมและงบการเงินเฉพาะกิจการเป็นส่วนหนึ่งของงบการเงินนี้</v>
      </c>
      <c r="B108" s="52"/>
      <c r="C108" s="52"/>
      <c r="D108" s="53"/>
      <c r="E108" s="52"/>
      <c r="F108" s="29"/>
      <c r="G108" s="29"/>
      <c r="H108" s="29"/>
      <c r="I108" s="54"/>
      <c r="J108" s="29"/>
      <c r="K108" s="29"/>
      <c r="L108" s="29"/>
    </row>
    <row r="109" spans="1:12" ht="21.75" customHeight="1" x14ac:dyDescent="0.3">
      <c r="A109" s="2" t="str">
        <f>A1</f>
        <v>บริษัท โกลบอล เพาเวอร์ ซินเนอร์ยี่ จำกัด (มหาชน)</v>
      </c>
      <c r="B109" s="2"/>
      <c r="C109" s="3"/>
      <c r="D109" s="4"/>
      <c r="E109" s="3"/>
      <c r="F109" s="5"/>
      <c r="G109" s="5"/>
      <c r="H109" s="5"/>
      <c r="I109" s="6"/>
      <c r="J109" s="5"/>
      <c r="K109" s="5"/>
      <c r="L109" s="5"/>
    </row>
    <row r="110" spans="1:12" ht="21.75" customHeight="1" x14ac:dyDescent="0.3">
      <c r="A110" s="2" t="s">
        <v>79</v>
      </c>
      <c r="B110" s="2"/>
      <c r="C110" s="3"/>
      <c r="D110" s="4"/>
      <c r="E110" s="3"/>
      <c r="F110" s="5"/>
      <c r="G110" s="5"/>
      <c r="H110" s="5"/>
      <c r="I110" s="6"/>
      <c r="J110" s="5"/>
      <c r="K110" s="5"/>
      <c r="L110" s="5"/>
    </row>
    <row r="111" spans="1:12" ht="21.75" customHeight="1" x14ac:dyDescent="0.3">
      <c r="A111" s="8" t="str">
        <f>A3</f>
        <v>ณ วันที่ 31 ธันวาคม พ.ศ. 2566</v>
      </c>
      <c r="B111" s="8"/>
      <c r="C111" s="9"/>
      <c r="D111" s="10"/>
      <c r="E111" s="9"/>
      <c r="F111" s="11"/>
      <c r="G111" s="11"/>
      <c r="H111" s="11"/>
      <c r="I111" s="12"/>
      <c r="J111" s="11"/>
      <c r="K111" s="11"/>
      <c r="L111" s="11"/>
    </row>
    <row r="112" spans="1:12" ht="21.75" customHeight="1" x14ac:dyDescent="0.3">
      <c r="A112" s="3"/>
      <c r="B112" s="3"/>
      <c r="C112" s="3"/>
      <c r="D112" s="4"/>
      <c r="E112" s="3"/>
      <c r="F112" s="5"/>
      <c r="G112" s="5"/>
      <c r="H112" s="5"/>
      <c r="I112" s="6"/>
      <c r="J112" s="5"/>
      <c r="K112" s="5"/>
      <c r="L112" s="5"/>
    </row>
    <row r="113" spans="1:12" ht="21.75" customHeight="1" x14ac:dyDescent="0.3">
      <c r="A113" s="2"/>
      <c r="B113" s="2"/>
      <c r="C113" s="3"/>
      <c r="D113" s="4"/>
      <c r="E113" s="3"/>
      <c r="F113" s="114" t="s">
        <v>3</v>
      </c>
      <c r="G113" s="114"/>
      <c r="H113" s="114"/>
      <c r="I113" s="13"/>
      <c r="J113" s="114" t="s">
        <v>4</v>
      </c>
      <c r="K113" s="114"/>
      <c r="L113" s="114"/>
    </row>
    <row r="114" spans="1:12" ht="21.75" customHeight="1" x14ac:dyDescent="0.3">
      <c r="A114" s="3"/>
      <c r="B114" s="3"/>
      <c r="C114" s="3"/>
      <c r="D114" s="4"/>
      <c r="E114" s="2"/>
      <c r="F114" s="14" t="s">
        <v>5</v>
      </c>
      <c r="G114" s="15"/>
      <c r="H114" s="14" t="s">
        <v>6</v>
      </c>
      <c r="I114" s="16"/>
      <c r="J114" s="14" t="s">
        <v>5</v>
      </c>
      <c r="K114" s="15"/>
      <c r="L114" s="14" t="s">
        <v>6</v>
      </c>
    </row>
    <row r="115" spans="1:12" ht="21.75" customHeight="1" x14ac:dyDescent="0.3">
      <c r="A115" s="3"/>
      <c r="B115" s="3"/>
      <c r="C115" s="3"/>
      <c r="D115" s="17" t="s">
        <v>7</v>
      </c>
      <c r="E115" s="2"/>
      <c r="F115" s="18" t="s">
        <v>8</v>
      </c>
      <c r="G115" s="15"/>
      <c r="H115" s="18" t="s">
        <v>8</v>
      </c>
      <c r="I115" s="19"/>
      <c r="J115" s="18" t="s">
        <v>8</v>
      </c>
      <c r="K115" s="15"/>
      <c r="L115" s="18" t="s">
        <v>8</v>
      </c>
    </row>
    <row r="116" spans="1:12" ht="21.75" customHeight="1" x14ac:dyDescent="0.3">
      <c r="A116" s="113" t="s">
        <v>80</v>
      </c>
      <c r="B116" s="113"/>
      <c r="C116" s="113"/>
      <c r="D116" s="4"/>
      <c r="E116" s="20"/>
      <c r="F116" s="22"/>
      <c r="G116" s="23"/>
      <c r="H116" s="23"/>
      <c r="I116" s="19"/>
      <c r="J116" s="22"/>
      <c r="K116" s="23"/>
      <c r="L116" s="23"/>
    </row>
    <row r="117" spans="1:12" ht="6" customHeight="1" x14ac:dyDescent="0.3">
      <c r="A117" s="1"/>
      <c r="B117" s="20"/>
      <c r="C117" s="20"/>
      <c r="D117" s="4"/>
      <c r="E117" s="20"/>
      <c r="F117" s="22"/>
      <c r="G117" s="23"/>
      <c r="H117" s="23"/>
      <c r="I117" s="19"/>
      <c r="J117" s="22"/>
      <c r="K117" s="23"/>
      <c r="L117" s="23"/>
    </row>
    <row r="118" spans="1:12" ht="21.75" customHeight="1" x14ac:dyDescent="0.3">
      <c r="A118" s="1" t="s">
        <v>81</v>
      </c>
      <c r="B118" s="20"/>
      <c r="C118" s="20"/>
      <c r="D118" s="4"/>
      <c r="E118" s="20"/>
      <c r="F118" s="22"/>
      <c r="G118" s="23"/>
      <c r="H118" s="23"/>
      <c r="I118" s="19"/>
      <c r="J118" s="22"/>
      <c r="K118" s="23"/>
      <c r="L118" s="23"/>
    </row>
    <row r="119" spans="1:12" ht="6" customHeight="1" x14ac:dyDescent="0.3">
      <c r="A119" s="1"/>
      <c r="B119" s="20"/>
      <c r="C119" s="20"/>
      <c r="D119" s="4"/>
      <c r="E119" s="20"/>
      <c r="F119" s="22"/>
      <c r="G119" s="23"/>
      <c r="H119" s="23"/>
      <c r="I119" s="19"/>
      <c r="J119" s="22"/>
      <c r="K119" s="23"/>
      <c r="L119" s="23"/>
    </row>
    <row r="120" spans="1:12" ht="21.75" customHeight="1" x14ac:dyDescent="0.3">
      <c r="A120" s="20" t="s">
        <v>82</v>
      </c>
      <c r="B120" s="20"/>
      <c r="C120" s="20"/>
      <c r="D120" s="21"/>
      <c r="E120" s="20"/>
      <c r="F120" s="22"/>
      <c r="G120" s="23"/>
      <c r="H120" s="23"/>
      <c r="I120" s="19"/>
      <c r="J120" s="22"/>
      <c r="K120" s="23"/>
      <c r="L120" s="23"/>
    </row>
    <row r="121" spans="1:12" ht="21.75" customHeight="1" x14ac:dyDescent="0.3">
      <c r="A121" s="20"/>
      <c r="B121" s="20" t="s">
        <v>83</v>
      </c>
      <c r="C121" s="20"/>
      <c r="D121" s="21"/>
      <c r="E121" s="20"/>
      <c r="F121" s="22"/>
      <c r="G121" s="23"/>
      <c r="H121" s="23"/>
      <c r="I121" s="19"/>
      <c r="J121" s="22"/>
      <c r="K121" s="23"/>
      <c r="L121" s="23"/>
    </row>
    <row r="122" spans="1:12" ht="21.75" customHeight="1" x14ac:dyDescent="0.3">
      <c r="A122" s="20"/>
      <c r="B122" s="20"/>
      <c r="C122" s="20" t="s">
        <v>84</v>
      </c>
      <c r="D122" s="21"/>
      <c r="E122" s="20"/>
      <c r="F122" s="22"/>
      <c r="G122" s="23"/>
      <c r="H122" s="23"/>
      <c r="I122" s="19"/>
      <c r="J122" s="22"/>
      <c r="K122" s="23"/>
      <c r="L122" s="23"/>
    </row>
    <row r="123" spans="1:12" ht="21.75" customHeight="1" thickBot="1" x14ac:dyDescent="0.35">
      <c r="A123" s="20"/>
      <c r="B123" s="20"/>
      <c r="C123" s="20" t="s">
        <v>85</v>
      </c>
      <c r="D123" s="21"/>
      <c r="E123" s="20"/>
      <c r="F123" s="55">
        <v>28197293710</v>
      </c>
      <c r="G123" s="23"/>
      <c r="H123" s="56">
        <v>28197293710</v>
      </c>
      <c r="I123" s="23"/>
      <c r="J123" s="55">
        <v>28197293710</v>
      </c>
      <c r="K123" s="23"/>
      <c r="L123" s="56">
        <v>28197293710</v>
      </c>
    </row>
    <row r="124" spans="1:12" ht="6" customHeight="1" thickTop="1" x14ac:dyDescent="0.3">
      <c r="A124" s="20"/>
      <c r="B124" s="20"/>
      <c r="C124" s="20"/>
      <c r="D124" s="21"/>
      <c r="E124" s="20"/>
      <c r="F124" s="47"/>
      <c r="G124" s="5"/>
      <c r="H124" s="5"/>
      <c r="I124" s="5"/>
      <c r="J124" s="47"/>
      <c r="K124" s="5"/>
      <c r="L124" s="5"/>
    </row>
    <row r="125" spans="1:12" ht="21.75" customHeight="1" x14ac:dyDescent="0.3">
      <c r="A125" s="20"/>
      <c r="B125" s="20" t="s">
        <v>86</v>
      </c>
      <c r="C125" s="20"/>
      <c r="D125" s="21"/>
      <c r="E125" s="20"/>
      <c r="F125" s="22"/>
      <c r="G125" s="23"/>
      <c r="H125" s="23"/>
      <c r="I125" s="19"/>
      <c r="J125" s="22"/>
      <c r="K125" s="23"/>
      <c r="L125" s="23"/>
    </row>
    <row r="126" spans="1:12" ht="21.75" customHeight="1" x14ac:dyDescent="0.3">
      <c r="A126" s="20"/>
      <c r="B126" s="20"/>
      <c r="C126" s="20" t="s">
        <v>87</v>
      </c>
      <c r="D126" s="21"/>
      <c r="E126" s="20"/>
      <c r="F126" s="22"/>
      <c r="G126" s="23"/>
      <c r="H126" s="23"/>
      <c r="I126" s="19"/>
      <c r="J126" s="22"/>
      <c r="K126" s="23"/>
      <c r="L126" s="23"/>
    </row>
    <row r="127" spans="1:12" ht="21.75" customHeight="1" x14ac:dyDescent="0.3">
      <c r="A127" s="20"/>
      <c r="B127" s="20"/>
      <c r="C127" s="20" t="s">
        <v>88</v>
      </c>
      <c r="D127" s="21"/>
      <c r="E127" s="20"/>
      <c r="F127" s="22">
        <v>28197293670</v>
      </c>
      <c r="G127" s="23"/>
      <c r="H127" s="23">
        <v>28197293670</v>
      </c>
      <c r="I127" s="23"/>
      <c r="J127" s="22">
        <v>28197293670</v>
      </c>
      <c r="K127" s="23"/>
      <c r="L127" s="23">
        <v>28197293670</v>
      </c>
    </row>
    <row r="128" spans="1:12" ht="21.75" customHeight="1" x14ac:dyDescent="0.3">
      <c r="A128" s="20" t="s">
        <v>89</v>
      </c>
      <c r="B128" s="20"/>
      <c r="C128" s="20"/>
      <c r="D128" s="21"/>
      <c r="E128" s="20"/>
      <c r="F128" s="22">
        <v>70175900837</v>
      </c>
      <c r="G128" s="23"/>
      <c r="H128" s="23">
        <v>70175900837</v>
      </c>
      <c r="I128" s="23"/>
      <c r="J128" s="22">
        <v>70175900837</v>
      </c>
      <c r="K128" s="23"/>
      <c r="L128" s="23">
        <v>70175900837</v>
      </c>
    </row>
    <row r="129" spans="1:12" ht="21.75" customHeight="1" x14ac:dyDescent="0.3">
      <c r="A129" s="20" t="s">
        <v>90</v>
      </c>
      <c r="B129" s="20"/>
      <c r="C129" s="20"/>
      <c r="D129" s="21"/>
      <c r="E129" s="20"/>
      <c r="F129" s="22"/>
      <c r="G129" s="23"/>
      <c r="H129" s="23"/>
      <c r="I129" s="23"/>
      <c r="J129" s="22"/>
      <c r="K129" s="23"/>
      <c r="L129" s="23"/>
    </row>
    <row r="130" spans="1:12" ht="21.75" customHeight="1" x14ac:dyDescent="0.3">
      <c r="A130" s="3"/>
      <c r="B130" s="20" t="s">
        <v>33</v>
      </c>
      <c r="C130" s="20"/>
      <c r="D130" s="21"/>
      <c r="E130" s="20"/>
      <c r="F130" s="22">
        <v>-14991990030</v>
      </c>
      <c r="G130" s="23"/>
      <c r="H130" s="23">
        <v>-14991990030</v>
      </c>
      <c r="I130" s="23"/>
      <c r="J130" s="22">
        <v>0</v>
      </c>
      <c r="K130" s="23"/>
      <c r="L130" s="23">
        <v>0</v>
      </c>
    </row>
    <row r="131" spans="1:12" ht="21.75" customHeight="1" x14ac:dyDescent="0.3">
      <c r="A131" s="20" t="s">
        <v>91</v>
      </c>
      <c r="B131" s="20"/>
      <c r="C131" s="3"/>
      <c r="D131" s="21"/>
      <c r="E131" s="20"/>
      <c r="F131" s="22">
        <v>-1118213914</v>
      </c>
      <c r="G131" s="23"/>
      <c r="H131" s="23">
        <v>-1118213914</v>
      </c>
      <c r="I131" s="23"/>
      <c r="J131" s="22">
        <v>78467400</v>
      </c>
      <c r="K131" s="23"/>
      <c r="L131" s="23">
        <v>78467400</v>
      </c>
    </row>
    <row r="132" spans="1:12" ht="21.75" customHeight="1" x14ac:dyDescent="0.3">
      <c r="A132" s="20" t="s">
        <v>92</v>
      </c>
      <c r="B132" s="20"/>
      <c r="C132" s="20"/>
      <c r="D132" s="21"/>
      <c r="E132" s="20"/>
      <c r="F132" s="22"/>
      <c r="G132" s="23"/>
      <c r="H132" s="23"/>
      <c r="I132" s="19"/>
      <c r="J132" s="22"/>
      <c r="K132" s="23"/>
      <c r="L132" s="23"/>
    </row>
    <row r="133" spans="1:12" ht="21.75" customHeight="1" x14ac:dyDescent="0.3">
      <c r="A133" s="20"/>
      <c r="B133" s="20" t="s">
        <v>93</v>
      </c>
      <c r="C133" s="20"/>
      <c r="D133" s="21"/>
      <c r="E133" s="20"/>
      <c r="F133" s="22"/>
      <c r="G133" s="23"/>
      <c r="H133" s="23"/>
      <c r="I133" s="19"/>
      <c r="J133" s="22"/>
      <c r="K133" s="23"/>
      <c r="L133" s="23"/>
    </row>
    <row r="134" spans="1:12" ht="21.75" customHeight="1" x14ac:dyDescent="0.3">
      <c r="A134" s="20"/>
      <c r="B134" s="20" t="s">
        <v>94</v>
      </c>
      <c r="C134" s="20"/>
      <c r="D134" s="21">
        <v>33</v>
      </c>
      <c r="E134" s="20"/>
      <c r="F134" s="22">
        <v>2307914941</v>
      </c>
      <c r="G134" s="23"/>
      <c r="H134" s="23">
        <v>2268360049</v>
      </c>
      <c r="I134" s="23"/>
      <c r="J134" s="22">
        <v>2307914941</v>
      </c>
      <c r="K134" s="23"/>
      <c r="L134" s="23">
        <v>2268360049</v>
      </c>
    </row>
    <row r="135" spans="1:12" ht="21.75" customHeight="1" x14ac:dyDescent="0.3">
      <c r="A135" s="20"/>
      <c r="B135" s="20" t="s">
        <v>95</v>
      </c>
      <c r="C135" s="20"/>
      <c r="D135" s="21"/>
      <c r="E135" s="20"/>
      <c r="F135" s="22">
        <v>22699002617</v>
      </c>
      <c r="G135" s="23"/>
      <c r="H135" s="23">
        <v>20529290819</v>
      </c>
      <c r="I135" s="23"/>
      <c r="J135" s="22">
        <v>27413670408</v>
      </c>
      <c r="K135" s="23"/>
      <c r="L135" s="23">
        <v>28177773058</v>
      </c>
    </row>
    <row r="136" spans="1:12" ht="21.75" customHeight="1" x14ac:dyDescent="0.3">
      <c r="A136" s="20" t="s">
        <v>96</v>
      </c>
      <c r="B136" s="20"/>
      <c r="C136" s="20"/>
      <c r="D136" s="21"/>
      <c r="E136" s="20"/>
      <c r="F136" s="28">
        <v>-1074871722</v>
      </c>
      <c r="G136" s="23"/>
      <c r="H136" s="29">
        <v>-330685711</v>
      </c>
      <c r="I136" s="23"/>
      <c r="J136" s="28">
        <v>1005687075</v>
      </c>
      <c r="K136" s="23"/>
      <c r="L136" s="42">
        <v>1444799597</v>
      </c>
    </row>
    <row r="137" spans="1:12" ht="6" customHeight="1" x14ac:dyDescent="0.3">
      <c r="A137" s="1"/>
      <c r="B137" s="20"/>
      <c r="C137" s="20"/>
      <c r="D137" s="21"/>
      <c r="E137" s="20"/>
      <c r="F137" s="22"/>
      <c r="G137" s="23"/>
      <c r="H137" s="23"/>
      <c r="I137" s="19"/>
      <c r="J137" s="22"/>
      <c r="K137" s="23"/>
      <c r="L137" s="23"/>
    </row>
    <row r="138" spans="1:12" ht="21.75" customHeight="1" x14ac:dyDescent="0.3">
      <c r="A138" s="1" t="s">
        <v>97</v>
      </c>
      <c r="B138" s="20"/>
      <c r="C138" s="20"/>
      <c r="D138" s="21"/>
      <c r="E138" s="20"/>
      <c r="F138" s="45">
        <f>SUM(F127:F136)</f>
        <v>106195036399</v>
      </c>
      <c r="G138" s="23"/>
      <c r="H138" s="46">
        <f>SUM(H127:H136)</f>
        <v>104729955720</v>
      </c>
      <c r="I138" s="46"/>
      <c r="J138" s="45">
        <f>SUM(J127:J136)</f>
        <v>129178934331</v>
      </c>
      <c r="K138" s="46"/>
      <c r="L138" s="46">
        <f>SUM(L127:L136)</f>
        <v>130342594611</v>
      </c>
    </row>
    <row r="139" spans="1:12" ht="21.75" customHeight="1" x14ac:dyDescent="0.3">
      <c r="A139" s="20" t="s">
        <v>98</v>
      </c>
      <c r="B139" s="20"/>
      <c r="C139" s="20"/>
      <c r="D139" s="21"/>
      <c r="E139" s="20"/>
      <c r="F139" s="28">
        <v>11329785918</v>
      </c>
      <c r="G139" s="23"/>
      <c r="H139" s="29">
        <v>10370262958</v>
      </c>
      <c r="I139" s="23"/>
      <c r="J139" s="57">
        <v>0</v>
      </c>
      <c r="K139" s="23"/>
      <c r="L139" s="58">
        <v>0</v>
      </c>
    </row>
    <row r="140" spans="1:12" ht="6" customHeight="1" x14ac:dyDescent="0.3">
      <c r="A140" s="20"/>
      <c r="B140" s="20"/>
      <c r="C140" s="20"/>
      <c r="D140" s="21"/>
      <c r="E140" s="20"/>
      <c r="F140" s="22"/>
      <c r="G140" s="23"/>
      <c r="H140" s="23"/>
      <c r="I140" s="59"/>
      <c r="J140" s="22"/>
      <c r="K140" s="23"/>
      <c r="L140" s="23"/>
    </row>
    <row r="141" spans="1:12" ht="21.75" customHeight="1" x14ac:dyDescent="0.3">
      <c r="A141" s="1" t="s">
        <v>99</v>
      </c>
      <c r="B141" s="20"/>
      <c r="C141" s="20"/>
      <c r="D141" s="21"/>
      <c r="E141" s="20"/>
      <c r="F141" s="30">
        <f>SUM(F138:F139)</f>
        <v>117524822317</v>
      </c>
      <c r="G141" s="23"/>
      <c r="H141" s="31">
        <f>SUM(H138:H139)</f>
        <v>115100218678</v>
      </c>
      <c r="I141" s="59"/>
      <c r="J141" s="30">
        <f>SUM(J138:J139)</f>
        <v>129178934331</v>
      </c>
      <c r="K141" s="23"/>
      <c r="L141" s="31">
        <f>SUM(L138:L139)</f>
        <v>130342594611</v>
      </c>
    </row>
    <row r="142" spans="1:12" ht="6" customHeight="1" x14ac:dyDescent="0.3">
      <c r="A142" s="1"/>
      <c r="B142" s="20"/>
      <c r="C142" s="20"/>
      <c r="D142" s="21"/>
      <c r="E142" s="20"/>
      <c r="F142" s="22"/>
      <c r="G142" s="23"/>
      <c r="H142" s="23"/>
      <c r="I142" s="59"/>
      <c r="J142" s="22"/>
      <c r="K142" s="23"/>
      <c r="L142" s="23"/>
    </row>
    <row r="143" spans="1:12" ht="21.75" customHeight="1" thickBot="1" x14ac:dyDescent="0.35">
      <c r="A143" s="113" t="s">
        <v>100</v>
      </c>
      <c r="B143" s="113"/>
      <c r="C143" s="113"/>
      <c r="D143" s="21"/>
      <c r="E143" s="20"/>
      <c r="F143" s="34">
        <f>F141+F99</f>
        <v>281703104770</v>
      </c>
      <c r="G143" s="23"/>
      <c r="H143" s="35">
        <f>H141+H99</f>
        <v>288810093402</v>
      </c>
      <c r="I143" s="6"/>
      <c r="J143" s="34">
        <f>J141+J99</f>
        <v>220753609522</v>
      </c>
      <c r="K143" s="23"/>
      <c r="L143" s="35">
        <f>L141+L99</f>
        <v>228553985415</v>
      </c>
    </row>
    <row r="144" spans="1:12" ht="21.75" customHeight="1" thickTop="1" x14ac:dyDescent="0.3">
      <c r="A144" s="50"/>
      <c r="B144" s="50"/>
      <c r="C144" s="50"/>
      <c r="D144" s="21"/>
      <c r="E144" s="20"/>
      <c r="F144" s="60"/>
      <c r="G144" s="60"/>
      <c r="H144" s="60"/>
      <c r="I144" s="60"/>
      <c r="J144" s="60"/>
      <c r="K144" s="23"/>
      <c r="L144" s="60"/>
    </row>
    <row r="145" spans="1:12" ht="21.75" customHeight="1" x14ac:dyDescent="0.3">
      <c r="A145" s="50"/>
      <c r="B145" s="50"/>
      <c r="C145" s="50"/>
      <c r="D145" s="21"/>
      <c r="E145" s="20"/>
      <c r="F145" s="23"/>
      <c r="G145" s="23"/>
      <c r="H145" s="23"/>
      <c r="I145" s="23"/>
      <c r="J145" s="23"/>
      <c r="K145" s="23"/>
      <c r="L145" s="23"/>
    </row>
    <row r="146" spans="1:12" ht="21.75" customHeight="1" x14ac:dyDescent="0.3">
      <c r="A146" s="50"/>
      <c r="B146" s="50"/>
      <c r="C146" s="50"/>
      <c r="D146" s="21"/>
      <c r="E146" s="20"/>
      <c r="F146" s="23"/>
      <c r="G146" s="23"/>
      <c r="H146" s="23"/>
      <c r="I146" s="23"/>
      <c r="J146" s="23"/>
      <c r="K146" s="23"/>
      <c r="L146" s="23"/>
    </row>
    <row r="147" spans="1:12" ht="21.75" customHeight="1" x14ac:dyDescent="0.3">
      <c r="A147" s="50"/>
      <c r="B147" s="50"/>
      <c r="C147" s="50"/>
      <c r="D147" s="21"/>
      <c r="E147" s="20"/>
      <c r="F147" s="61"/>
      <c r="G147" s="23"/>
      <c r="H147" s="23"/>
      <c r="I147" s="23"/>
      <c r="J147" s="23"/>
      <c r="K147" s="23"/>
      <c r="L147" s="23"/>
    </row>
    <row r="148" spans="1:12" ht="21.75" customHeight="1" x14ac:dyDescent="0.3">
      <c r="A148" s="50"/>
      <c r="B148" s="50"/>
      <c r="C148" s="50"/>
      <c r="D148" s="21"/>
      <c r="E148" s="20"/>
      <c r="F148" s="23"/>
      <c r="G148" s="23"/>
      <c r="H148" s="23"/>
      <c r="I148" s="23"/>
      <c r="J148" s="23"/>
      <c r="K148" s="23"/>
      <c r="L148" s="23"/>
    </row>
    <row r="149" spans="1:12" ht="21.75" customHeight="1" x14ac:dyDescent="0.3">
      <c r="A149" s="50"/>
      <c r="B149" s="50"/>
      <c r="C149" s="50"/>
      <c r="D149" s="21"/>
      <c r="E149" s="20"/>
      <c r="F149" s="23"/>
      <c r="G149" s="23"/>
      <c r="H149" s="23"/>
      <c r="I149" s="23"/>
      <c r="J149" s="23"/>
      <c r="K149" s="23"/>
      <c r="L149" s="23"/>
    </row>
    <row r="150" spans="1:12" ht="21.75" customHeight="1" x14ac:dyDescent="0.3">
      <c r="A150" s="50"/>
      <c r="B150" s="50"/>
      <c r="C150" s="50"/>
      <c r="D150" s="21"/>
      <c r="E150" s="20"/>
      <c r="F150" s="23"/>
      <c r="G150" s="23"/>
      <c r="H150" s="23"/>
      <c r="I150" s="23"/>
      <c r="J150" s="23"/>
      <c r="K150" s="23"/>
      <c r="L150" s="23"/>
    </row>
    <row r="151" spans="1:12" ht="21.75" customHeight="1" x14ac:dyDescent="0.3">
      <c r="A151" s="50"/>
      <c r="B151" s="50"/>
      <c r="C151" s="50"/>
      <c r="D151" s="21"/>
      <c r="E151" s="20"/>
      <c r="F151" s="23"/>
      <c r="G151" s="23"/>
      <c r="H151" s="23"/>
      <c r="I151" s="23"/>
      <c r="J151" s="23"/>
      <c r="K151" s="23"/>
      <c r="L151" s="23"/>
    </row>
    <row r="152" spans="1:12" ht="21.75" customHeight="1" x14ac:dyDescent="0.3">
      <c r="A152" s="50"/>
      <c r="B152" s="50"/>
      <c r="C152" s="50"/>
      <c r="D152" s="21"/>
      <c r="E152" s="20"/>
      <c r="F152" s="23"/>
      <c r="G152" s="23"/>
      <c r="H152" s="23"/>
      <c r="I152" s="23"/>
      <c r="J152" s="23"/>
      <c r="K152" s="23"/>
      <c r="L152" s="23"/>
    </row>
    <row r="153" spans="1:12" ht="21.75" customHeight="1" x14ac:dyDescent="0.3">
      <c r="A153" s="50"/>
      <c r="B153" s="50"/>
      <c r="C153" s="50"/>
      <c r="D153" s="21"/>
      <c r="E153" s="20"/>
      <c r="F153" s="23"/>
      <c r="G153" s="23"/>
      <c r="H153" s="23"/>
      <c r="I153" s="23"/>
      <c r="J153" s="23"/>
      <c r="K153" s="23"/>
      <c r="L153" s="23"/>
    </row>
    <row r="154" spans="1:12" ht="21.75" customHeight="1" x14ac:dyDescent="0.3">
      <c r="A154" s="50"/>
      <c r="B154" s="50"/>
      <c r="C154" s="50"/>
      <c r="D154" s="21"/>
      <c r="E154" s="20"/>
      <c r="F154" s="23"/>
      <c r="G154" s="23"/>
      <c r="H154" s="23"/>
      <c r="I154" s="23"/>
      <c r="J154" s="23"/>
      <c r="K154" s="23"/>
      <c r="L154" s="23"/>
    </row>
    <row r="155" spans="1:12" ht="21.75" customHeight="1" x14ac:dyDescent="0.3">
      <c r="A155" s="50"/>
      <c r="B155" s="50"/>
      <c r="C155" s="50"/>
      <c r="D155" s="21"/>
      <c r="E155" s="20"/>
      <c r="F155" s="23"/>
      <c r="G155" s="23"/>
      <c r="H155" s="23"/>
      <c r="I155" s="23"/>
      <c r="J155" s="23"/>
      <c r="K155" s="23"/>
      <c r="L155" s="23"/>
    </row>
    <row r="156" spans="1:12" ht="21.75" customHeight="1" x14ac:dyDescent="0.3">
      <c r="A156" s="50"/>
      <c r="B156" s="50"/>
      <c r="C156" s="50"/>
      <c r="D156" s="21"/>
      <c r="E156" s="20"/>
      <c r="F156" s="23"/>
      <c r="G156" s="23"/>
      <c r="H156" s="23"/>
      <c r="I156" s="23"/>
      <c r="J156" s="23"/>
      <c r="K156" s="23"/>
      <c r="L156" s="23"/>
    </row>
    <row r="157" spans="1:12" ht="22.5" customHeight="1" x14ac:dyDescent="0.3">
      <c r="A157" s="50"/>
      <c r="B157" s="50"/>
      <c r="C157" s="50"/>
      <c r="D157" s="21"/>
      <c r="E157" s="20"/>
      <c r="F157" s="23"/>
      <c r="G157" s="23"/>
      <c r="H157" s="23"/>
      <c r="I157" s="23"/>
      <c r="J157" s="23"/>
      <c r="K157" s="23"/>
      <c r="L157" s="23"/>
    </row>
    <row r="158" spans="1:12" ht="21.9" customHeight="1" x14ac:dyDescent="0.3">
      <c r="A158" s="9" t="str">
        <f>A58</f>
        <v>หมายเหตุประกอบงบการเงินรวมและงบการเงินเฉพาะกิจการเป็นส่วนหนึ่งของงบการเงินนี้</v>
      </c>
      <c r="B158" s="9"/>
      <c r="C158" s="9"/>
      <c r="D158" s="10"/>
      <c r="E158" s="9"/>
      <c r="F158" s="11"/>
      <c r="G158" s="11"/>
      <c r="H158" s="11"/>
      <c r="I158" s="12"/>
      <c r="J158" s="11"/>
      <c r="K158" s="11"/>
      <c r="L158" s="11"/>
    </row>
  </sheetData>
  <mergeCells count="13">
    <mergeCell ref="J113:L113"/>
    <mergeCell ref="A116:C116"/>
    <mergeCell ref="F5:H5"/>
    <mergeCell ref="J5:L5"/>
    <mergeCell ref="F63:H63"/>
    <mergeCell ref="J63:L63"/>
    <mergeCell ref="A66:C66"/>
    <mergeCell ref="A68:C68"/>
    <mergeCell ref="A143:C143"/>
    <mergeCell ref="A85:C85"/>
    <mergeCell ref="A97:C97"/>
    <mergeCell ref="A99:C99"/>
    <mergeCell ref="F113:H113"/>
  </mergeCells>
  <pageMargins left="0.8" right="0.5" top="0.5" bottom="0.6" header="0.49" footer="0.4"/>
  <pageSetup paperSize="9" scale="80" firstPageNumber="7" orientation="portrait" useFirstPageNumber="1" horizontalDpi="1200" verticalDpi="1200" r:id="rId1"/>
  <headerFooter>
    <oddFooter>&amp;R&amp;"Browallia New,Regular"&amp;13&amp;P</oddFooter>
  </headerFooter>
  <rowBreaks count="2" manualBreakCount="2">
    <brk id="58" max="16383" man="1"/>
    <brk id="10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D2AB-E5A2-4469-BE3B-961279BBF5A7}">
  <dimension ref="A1:P100"/>
  <sheetViews>
    <sheetView zoomScale="91" zoomScaleNormal="91" zoomScaleSheetLayoutView="85" workbookViewId="0"/>
  </sheetViews>
  <sheetFormatPr defaultColWidth="8.6640625" defaultRowHeight="21.75" customHeight="1" x14ac:dyDescent="0.3"/>
  <cols>
    <col min="1" max="3" width="1.6640625" style="7" customWidth="1"/>
    <col min="4" max="4" width="33.109375" style="7" customWidth="1"/>
    <col min="5" max="5" width="8.33203125" style="7" customWidth="1"/>
    <col min="6" max="6" width="0.5546875" style="7" customWidth="1"/>
    <col min="7" max="7" width="13.88671875" style="7" bestFit="1" customWidth="1"/>
    <col min="8" max="8" width="0.5546875" style="7" customWidth="1"/>
    <col min="9" max="9" width="14.88671875" style="7" bestFit="1" customWidth="1"/>
    <col min="10" max="10" width="0.5546875" style="7" customWidth="1"/>
    <col min="11" max="11" width="13.88671875" style="7" bestFit="1" customWidth="1"/>
    <col min="12" max="12" width="0.5546875" style="7" customWidth="1"/>
    <col min="13" max="13" width="13.88671875" style="7" bestFit="1" customWidth="1"/>
    <col min="14" max="14" width="8.6640625" style="7"/>
    <col min="15" max="15" width="11.5546875" style="7" bestFit="1" customWidth="1"/>
    <col min="16" max="16" width="12.33203125" style="7" customWidth="1"/>
    <col min="17" max="16384" width="8.6640625" style="7"/>
  </cols>
  <sheetData>
    <row r="1" spans="1:13" ht="21.75" customHeight="1" x14ac:dyDescent="0.3">
      <c r="A1" s="62" t="str">
        <f>+'Thai 7-9'!A1</f>
        <v>บริษัท โกลบอล เพาเวอร์ ซินเนอร์ยี่ จำกัด (มหาชน)</v>
      </c>
      <c r="B1" s="62"/>
      <c r="C1" s="62"/>
      <c r="D1" s="62"/>
      <c r="E1" s="63"/>
      <c r="F1" s="62"/>
      <c r="G1" s="1"/>
      <c r="H1" s="1"/>
      <c r="I1" s="1"/>
      <c r="J1" s="62"/>
      <c r="K1" s="1"/>
      <c r="L1" s="1"/>
      <c r="M1" s="1"/>
    </row>
    <row r="2" spans="1:13" ht="21.75" customHeight="1" x14ac:dyDescent="0.3">
      <c r="A2" s="62" t="s">
        <v>101</v>
      </c>
      <c r="B2" s="62"/>
      <c r="C2" s="62"/>
      <c r="D2" s="62"/>
      <c r="E2" s="63"/>
      <c r="F2" s="62"/>
      <c r="G2" s="1"/>
      <c r="H2" s="1"/>
      <c r="I2" s="1"/>
      <c r="J2" s="62"/>
      <c r="K2" s="1"/>
      <c r="L2" s="1"/>
      <c r="M2" s="1"/>
    </row>
    <row r="3" spans="1:13" ht="21.75" customHeight="1" x14ac:dyDescent="0.3">
      <c r="A3" s="64" t="s">
        <v>102</v>
      </c>
      <c r="B3" s="64"/>
      <c r="C3" s="64"/>
      <c r="D3" s="64"/>
      <c r="E3" s="65"/>
      <c r="F3" s="64"/>
      <c r="G3" s="66"/>
      <c r="H3" s="66"/>
      <c r="I3" s="66"/>
      <c r="J3" s="64"/>
      <c r="K3" s="66"/>
      <c r="L3" s="66"/>
      <c r="M3" s="66"/>
    </row>
    <row r="4" spans="1:13" ht="21.75" customHeight="1" x14ac:dyDescent="0.3">
      <c r="A4" s="62"/>
      <c r="B4" s="62"/>
      <c r="C4" s="62"/>
      <c r="D4" s="62"/>
      <c r="E4" s="63"/>
      <c r="F4" s="62"/>
      <c r="G4" s="1"/>
      <c r="H4" s="1"/>
      <c r="I4" s="1"/>
      <c r="J4" s="62"/>
      <c r="K4" s="1"/>
      <c r="L4" s="1"/>
      <c r="M4" s="1"/>
    </row>
    <row r="5" spans="1:13" ht="21.75" customHeight="1" x14ac:dyDescent="0.3">
      <c r="A5" s="62"/>
      <c r="B5" s="62"/>
      <c r="C5" s="62"/>
      <c r="D5" s="62"/>
      <c r="E5" s="63"/>
      <c r="F5" s="62"/>
      <c r="G5" s="115" t="s">
        <v>3</v>
      </c>
      <c r="H5" s="115"/>
      <c r="I5" s="115"/>
      <c r="J5" s="67"/>
      <c r="K5" s="114" t="s">
        <v>4</v>
      </c>
      <c r="L5" s="114"/>
      <c r="M5" s="114"/>
    </row>
    <row r="6" spans="1:13" ht="21.75" customHeight="1" x14ac:dyDescent="0.3">
      <c r="A6" s="62" t="s">
        <v>103</v>
      </c>
      <c r="B6" s="62"/>
      <c r="C6" s="62"/>
      <c r="D6" s="62"/>
      <c r="E6" s="25"/>
      <c r="F6" s="62"/>
      <c r="G6" s="14" t="s">
        <v>5</v>
      </c>
      <c r="H6" s="15"/>
      <c r="I6" s="14" t="s">
        <v>6</v>
      </c>
      <c r="J6" s="16"/>
      <c r="K6" s="14" t="s">
        <v>5</v>
      </c>
      <c r="L6" s="15"/>
      <c r="M6" s="14" t="s">
        <v>6</v>
      </c>
    </row>
    <row r="7" spans="1:13" ht="21.75" customHeight="1" x14ac:dyDescent="0.3">
      <c r="A7" s="62"/>
      <c r="B7" s="62"/>
      <c r="C7" s="62"/>
      <c r="D7" s="62"/>
      <c r="E7" s="65" t="s">
        <v>7</v>
      </c>
      <c r="F7" s="62"/>
      <c r="G7" s="68" t="s">
        <v>8</v>
      </c>
      <c r="H7" s="15"/>
      <c r="I7" s="68" t="s">
        <v>8</v>
      </c>
      <c r="J7" s="19"/>
      <c r="K7" s="68" t="s">
        <v>8</v>
      </c>
      <c r="L7" s="15"/>
      <c r="M7" s="68" t="s">
        <v>8</v>
      </c>
    </row>
    <row r="8" spans="1:13" ht="6" customHeight="1" x14ac:dyDescent="0.3">
      <c r="A8" s="62"/>
      <c r="B8" s="62"/>
      <c r="C8" s="62"/>
      <c r="D8" s="62"/>
      <c r="E8" s="63"/>
      <c r="F8" s="62"/>
      <c r="G8" s="69"/>
      <c r="H8" s="70"/>
      <c r="I8" s="70"/>
      <c r="J8" s="62"/>
      <c r="K8" s="69"/>
      <c r="L8" s="70"/>
      <c r="M8" s="70"/>
    </row>
    <row r="9" spans="1:13" ht="21.75" customHeight="1" x14ac:dyDescent="0.3">
      <c r="A9" s="25" t="s">
        <v>104</v>
      </c>
      <c r="B9" s="20"/>
      <c r="C9" s="20"/>
      <c r="D9" s="21"/>
      <c r="E9" s="21"/>
      <c r="F9" s="71"/>
      <c r="G9" s="27">
        <v>89859902799</v>
      </c>
      <c r="H9" s="24"/>
      <c r="I9" s="24">
        <v>123083241908</v>
      </c>
      <c r="J9" s="24"/>
      <c r="K9" s="27">
        <v>25443407539</v>
      </c>
      <c r="L9" s="24"/>
      <c r="M9" s="24">
        <v>42840776941</v>
      </c>
    </row>
    <row r="10" spans="1:13" ht="21.75" customHeight="1" x14ac:dyDescent="0.3">
      <c r="A10" s="25" t="s">
        <v>105</v>
      </c>
      <c r="B10" s="20"/>
      <c r="C10" s="20"/>
      <c r="D10" s="21"/>
      <c r="E10" s="21"/>
      <c r="F10" s="71"/>
      <c r="G10" s="27">
        <v>443370438</v>
      </c>
      <c r="H10" s="24"/>
      <c r="I10" s="24">
        <v>601854767</v>
      </c>
      <c r="J10" s="24"/>
      <c r="K10" s="27">
        <v>313138217</v>
      </c>
      <c r="L10" s="24"/>
      <c r="M10" s="24">
        <v>390029767</v>
      </c>
    </row>
    <row r="11" spans="1:13" ht="21.75" customHeight="1" x14ac:dyDescent="0.3">
      <c r="A11" s="20" t="s">
        <v>106</v>
      </c>
      <c r="B11" s="20"/>
      <c r="C11" s="20"/>
      <c r="D11" s="20"/>
      <c r="E11" s="21"/>
      <c r="F11" s="20"/>
      <c r="G11" s="72">
        <v>-80257941757</v>
      </c>
      <c r="H11" s="23"/>
      <c r="I11" s="73">
        <v>-120324086933</v>
      </c>
      <c r="J11" s="23"/>
      <c r="K11" s="74">
        <v>-23335489733</v>
      </c>
      <c r="L11" s="23"/>
      <c r="M11" s="75">
        <v>-41111323166</v>
      </c>
    </row>
    <row r="12" spans="1:13" ht="6" customHeight="1" x14ac:dyDescent="0.3">
      <c r="A12" s="25"/>
      <c r="B12" s="20"/>
      <c r="C12" s="20"/>
      <c r="D12" s="21"/>
      <c r="E12" s="21" t="s">
        <v>103</v>
      </c>
      <c r="F12" s="71"/>
      <c r="G12" s="27"/>
      <c r="H12" s="24"/>
      <c r="I12" s="24"/>
      <c r="J12" s="24"/>
      <c r="K12" s="27"/>
      <c r="L12" s="24"/>
      <c r="M12" s="24"/>
    </row>
    <row r="13" spans="1:13" ht="21.75" customHeight="1" x14ac:dyDescent="0.3">
      <c r="A13" s="62" t="s">
        <v>107</v>
      </c>
      <c r="B13" s="20"/>
      <c r="C13" s="20"/>
      <c r="D13" s="21"/>
      <c r="E13" s="21"/>
      <c r="F13" s="71"/>
      <c r="G13" s="22">
        <f>SUM(G9:G12)</f>
        <v>10045331480</v>
      </c>
      <c r="H13" s="24"/>
      <c r="I13" s="23">
        <f>SUM(I9:I12)</f>
        <v>3361009742</v>
      </c>
      <c r="J13" s="24"/>
      <c r="K13" s="22">
        <f>SUM(K9:K12)</f>
        <v>2421056023</v>
      </c>
      <c r="L13" s="24"/>
      <c r="M13" s="23">
        <f>SUM(M9:M12)</f>
        <v>2119483542</v>
      </c>
    </row>
    <row r="14" spans="1:13" ht="21.75" customHeight="1" x14ac:dyDescent="0.3">
      <c r="A14" s="25" t="s">
        <v>108</v>
      </c>
      <c r="B14" s="20"/>
      <c r="C14" s="20"/>
      <c r="D14" s="21"/>
      <c r="E14" s="21" t="s">
        <v>109</v>
      </c>
      <c r="F14" s="76"/>
      <c r="G14" s="22">
        <v>228303625</v>
      </c>
      <c r="H14" s="24"/>
      <c r="I14" s="23">
        <v>192001875</v>
      </c>
      <c r="J14" s="24"/>
      <c r="K14" s="22">
        <v>1891998863</v>
      </c>
      <c r="L14" s="24"/>
      <c r="M14" s="23">
        <v>3650925457</v>
      </c>
    </row>
    <row r="15" spans="1:13" ht="21.75" customHeight="1" x14ac:dyDescent="0.3">
      <c r="A15" s="25" t="s">
        <v>110</v>
      </c>
      <c r="B15" s="20"/>
      <c r="C15" s="20"/>
      <c r="D15" s="21"/>
      <c r="E15" s="21">
        <v>34</v>
      </c>
      <c r="F15" s="76"/>
      <c r="G15" s="22">
        <v>1765768936</v>
      </c>
      <c r="H15" s="24"/>
      <c r="I15" s="23">
        <v>2538957609</v>
      </c>
      <c r="J15" s="24"/>
      <c r="K15" s="22">
        <v>595853149</v>
      </c>
      <c r="L15" s="24"/>
      <c r="M15" s="23">
        <v>1630118945</v>
      </c>
    </row>
    <row r="16" spans="1:13" ht="21.75" customHeight="1" x14ac:dyDescent="0.3">
      <c r="A16" s="25" t="s">
        <v>111</v>
      </c>
      <c r="B16" s="20"/>
      <c r="C16" s="20"/>
      <c r="D16" s="21"/>
      <c r="E16" s="21"/>
      <c r="F16" s="76"/>
      <c r="G16" s="22">
        <v>-404346070</v>
      </c>
      <c r="H16" s="24"/>
      <c r="I16" s="23">
        <v>-46758925</v>
      </c>
      <c r="J16" s="24"/>
      <c r="K16" s="22">
        <v>-642942448</v>
      </c>
      <c r="L16" s="24"/>
      <c r="M16" s="23">
        <v>-117291651</v>
      </c>
    </row>
    <row r="17" spans="1:13" ht="21.75" customHeight="1" x14ac:dyDescent="0.3">
      <c r="A17" s="25" t="s">
        <v>112</v>
      </c>
      <c r="B17" s="20"/>
      <c r="C17" s="20"/>
      <c r="D17" s="21"/>
      <c r="E17" s="21"/>
      <c r="F17" s="76"/>
      <c r="G17" s="22">
        <v>-2708890236</v>
      </c>
      <c r="H17" s="24"/>
      <c r="I17" s="23">
        <v>-2309825758</v>
      </c>
      <c r="J17" s="24"/>
      <c r="K17" s="22">
        <v>-1379062192</v>
      </c>
      <c r="L17" s="24"/>
      <c r="M17" s="23">
        <v>-1375584926</v>
      </c>
    </row>
    <row r="18" spans="1:13" ht="21.75" customHeight="1" x14ac:dyDescent="0.3">
      <c r="A18" s="25" t="s">
        <v>113</v>
      </c>
      <c r="B18" s="20"/>
      <c r="C18" s="20"/>
      <c r="D18" s="21"/>
      <c r="E18" s="21"/>
      <c r="F18" s="76"/>
      <c r="G18" s="22"/>
      <c r="H18" s="24"/>
      <c r="I18" s="23"/>
      <c r="J18" s="24"/>
      <c r="K18" s="22"/>
      <c r="L18" s="24"/>
      <c r="M18" s="23"/>
    </row>
    <row r="19" spans="1:13" ht="21.75" customHeight="1" x14ac:dyDescent="0.3">
      <c r="A19" s="25"/>
      <c r="B19" s="20" t="s">
        <v>114</v>
      </c>
      <c r="C19" s="20"/>
      <c r="D19" s="21"/>
      <c r="E19" s="21"/>
      <c r="F19" s="76"/>
      <c r="G19" s="22">
        <v>678949475</v>
      </c>
      <c r="H19" s="24"/>
      <c r="I19" s="23">
        <v>105720368</v>
      </c>
      <c r="J19" s="24"/>
      <c r="K19" s="22">
        <v>604746214</v>
      </c>
      <c r="L19" s="24"/>
      <c r="M19" s="23">
        <v>-62584750</v>
      </c>
    </row>
    <row r="20" spans="1:13" ht="21.75" customHeight="1" x14ac:dyDescent="0.3">
      <c r="A20" s="25" t="s">
        <v>115</v>
      </c>
      <c r="B20" s="20"/>
      <c r="C20" s="20"/>
      <c r="D20" s="21"/>
      <c r="E20" s="21">
        <v>36</v>
      </c>
      <c r="F20" s="71"/>
      <c r="G20" s="22">
        <v>-5297198452</v>
      </c>
      <c r="H20" s="24"/>
      <c r="I20" s="23">
        <v>-4298888912</v>
      </c>
      <c r="J20" s="24"/>
      <c r="K20" s="22">
        <v>-2732800744</v>
      </c>
      <c r="L20" s="24"/>
      <c r="M20" s="23">
        <v>-2237829019</v>
      </c>
    </row>
    <row r="21" spans="1:13" ht="21.75" customHeight="1" x14ac:dyDescent="0.3">
      <c r="A21" s="25" t="s">
        <v>116</v>
      </c>
      <c r="B21" s="20"/>
      <c r="C21" s="20"/>
      <c r="D21" s="21"/>
      <c r="E21" s="21"/>
      <c r="F21" s="76"/>
      <c r="G21" s="27"/>
      <c r="H21" s="24"/>
      <c r="I21" s="24"/>
      <c r="J21" s="77"/>
      <c r="K21" s="27"/>
      <c r="L21" s="24"/>
      <c r="M21" s="24"/>
    </row>
    <row r="22" spans="1:13" ht="21.75" customHeight="1" x14ac:dyDescent="0.3">
      <c r="A22" s="20"/>
      <c r="B22" s="20" t="s">
        <v>117</v>
      </c>
      <c r="C22" s="20"/>
      <c r="D22" s="21"/>
      <c r="E22" s="21">
        <v>19</v>
      </c>
      <c r="F22" s="71"/>
      <c r="G22" s="41">
        <v>1007768044</v>
      </c>
      <c r="H22" s="24"/>
      <c r="I22" s="42">
        <v>1538960962</v>
      </c>
      <c r="J22" s="24"/>
      <c r="K22" s="78">
        <v>0</v>
      </c>
      <c r="L22" s="24"/>
      <c r="M22" s="79">
        <v>0</v>
      </c>
    </row>
    <row r="23" spans="1:13" ht="6" customHeight="1" x14ac:dyDescent="0.3">
      <c r="A23" s="62"/>
      <c r="B23" s="20"/>
      <c r="C23" s="20"/>
      <c r="D23" s="21"/>
      <c r="E23" s="21"/>
      <c r="F23" s="71"/>
      <c r="G23" s="27"/>
      <c r="H23" s="24"/>
      <c r="I23" s="24"/>
      <c r="J23" s="24"/>
      <c r="K23" s="27"/>
      <c r="L23" s="24"/>
      <c r="M23" s="24"/>
    </row>
    <row r="24" spans="1:13" ht="21.75" customHeight="1" x14ac:dyDescent="0.3">
      <c r="A24" s="62" t="s">
        <v>118</v>
      </c>
      <c r="B24" s="20"/>
      <c r="C24" s="20"/>
      <c r="D24" s="21"/>
      <c r="E24" s="21"/>
      <c r="F24" s="71"/>
      <c r="G24" s="27">
        <f>SUM(G13:G22)</f>
        <v>5315686802</v>
      </c>
      <c r="H24" s="24"/>
      <c r="I24" s="24">
        <f>SUM(I13:I22)</f>
        <v>1081176961</v>
      </c>
      <c r="J24" s="24"/>
      <c r="K24" s="22">
        <f>SUM(K13:K22)</f>
        <v>758848865</v>
      </c>
      <c r="L24" s="24"/>
      <c r="M24" s="23">
        <f>SUM(M13:M22)</f>
        <v>3607237598</v>
      </c>
    </row>
    <row r="25" spans="1:13" ht="21.75" customHeight="1" x14ac:dyDescent="0.3">
      <c r="A25" s="25" t="s">
        <v>119</v>
      </c>
      <c r="B25" s="20"/>
      <c r="C25" s="20"/>
      <c r="D25" s="21"/>
      <c r="E25" s="21">
        <v>37</v>
      </c>
      <c r="F25" s="71"/>
      <c r="G25" s="80">
        <v>-506592426</v>
      </c>
      <c r="H25" s="24"/>
      <c r="I25" s="81">
        <v>376184802</v>
      </c>
      <c r="J25" s="24"/>
      <c r="K25" s="80">
        <v>32248975</v>
      </c>
      <c r="L25" s="24"/>
      <c r="M25" s="81">
        <v>-5091999</v>
      </c>
    </row>
    <row r="26" spans="1:13" ht="6" customHeight="1" x14ac:dyDescent="0.3">
      <c r="A26" s="1"/>
      <c r="B26" s="20"/>
      <c r="C26" s="20"/>
      <c r="D26" s="21"/>
      <c r="E26" s="21"/>
      <c r="F26" s="71"/>
      <c r="G26" s="22"/>
      <c r="H26" s="24"/>
      <c r="I26" s="23"/>
      <c r="J26" s="24"/>
      <c r="K26" s="22"/>
      <c r="L26" s="24"/>
      <c r="M26" s="23"/>
    </row>
    <row r="27" spans="1:13" ht="21.75" customHeight="1" x14ac:dyDescent="0.3">
      <c r="A27" s="62" t="s">
        <v>120</v>
      </c>
      <c r="B27" s="20"/>
      <c r="C27" s="20"/>
      <c r="D27" s="21"/>
      <c r="E27" s="21"/>
      <c r="F27" s="71"/>
      <c r="G27" s="82">
        <f>SUM(G24:G25)</f>
        <v>4809094376</v>
      </c>
      <c r="H27" s="24"/>
      <c r="I27" s="81">
        <f>SUM(I24:I25)</f>
        <v>1457361763</v>
      </c>
      <c r="J27" s="24"/>
      <c r="K27" s="80">
        <f>SUM(K24:K25)</f>
        <v>791097840</v>
      </c>
      <c r="L27" s="24"/>
      <c r="M27" s="81">
        <f>SUM(M24:M25)</f>
        <v>3602145599</v>
      </c>
    </row>
    <row r="28" spans="1:13" ht="21.75" customHeight="1" x14ac:dyDescent="0.3">
      <c r="A28" s="62"/>
      <c r="B28" s="20"/>
      <c r="C28" s="20"/>
      <c r="D28" s="21"/>
      <c r="E28" s="21"/>
      <c r="F28" s="71"/>
      <c r="G28" s="22"/>
      <c r="H28" s="24"/>
      <c r="I28" s="23"/>
      <c r="J28" s="24"/>
      <c r="K28" s="22"/>
      <c r="L28" s="24"/>
      <c r="M28" s="23"/>
    </row>
    <row r="29" spans="1:13" ht="21.75" customHeight="1" x14ac:dyDescent="0.3">
      <c r="A29" s="62" t="s">
        <v>121</v>
      </c>
      <c r="B29" s="83"/>
      <c r="C29" s="83"/>
      <c r="D29" s="84"/>
      <c r="E29" s="84"/>
      <c r="F29" s="85"/>
      <c r="G29" s="22"/>
      <c r="H29" s="86"/>
      <c r="I29" s="23"/>
      <c r="J29" s="86"/>
      <c r="K29" s="22"/>
      <c r="L29" s="86"/>
      <c r="M29" s="23"/>
    </row>
    <row r="30" spans="1:13" ht="21.75" customHeight="1" x14ac:dyDescent="0.3">
      <c r="A30" s="62"/>
      <c r="B30" s="83" t="s">
        <v>122</v>
      </c>
      <c r="C30" s="83"/>
      <c r="D30" s="84"/>
      <c r="E30" s="84"/>
      <c r="F30" s="85"/>
      <c r="G30" s="22">
        <v>3694215573</v>
      </c>
      <c r="H30" s="86"/>
      <c r="I30" s="23">
        <v>891449844</v>
      </c>
      <c r="J30" s="86"/>
      <c r="K30" s="22">
        <v>791097840</v>
      </c>
      <c r="L30" s="86"/>
      <c r="M30" s="23">
        <v>3602145599</v>
      </c>
    </row>
    <row r="31" spans="1:13" ht="21.75" customHeight="1" x14ac:dyDescent="0.3">
      <c r="A31" s="62"/>
      <c r="B31" s="83" t="s">
        <v>123</v>
      </c>
      <c r="C31" s="83"/>
      <c r="D31" s="84"/>
      <c r="E31" s="84"/>
      <c r="F31" s="85"/>
      <c r="G31" s="41">
        <v>1114878803</v>
      </c>
      <c r="H31" s="86"/>
      <c r="I31" s="42">
        <v>565911919</v>
      </c>
      <c r="J31" s="86"/>
      <c r="K31" s="41">
        <v>0</v>
      </c>
      <c r="L31" s="86"/>
      <c r="M31" s="42">
        <v>0</v>
      </c>
    </row>
    <row r="32" spans="1:13" ht="6" customHeight="1" x14ac:dyDescent="0.3">
      <c r="A32" s="62"/>
      <c r="B32" s="83"/>
      <c r="C32" s="83"/>
      <c r="D32" s="84"/>
      <c r="E32" s="84"/>
      <c r="F32" s="85"/>
      <c r="G32" s="22"/>
      <c r="H32" s="86"/>
      <c r="I32" s="23"/>
      <c r="J32" s="86"/>
      <c r="K32" s="22"/>
      <c r="L32" s="86"/>
      <c r="M32" s="23"/>
    </row>
    <row r="33" spans="1:13" ht="21.75" customHeight="1" thickBot="1" x14ac:dyDescent="0.35">
      <c r="A33" s="62"/>
      <c r="B33" s="83"/>
      <c r="C33" s="83"/>
      <c r="D33" s="84"/>
      <c r="E33" s="84"/>
      <c r="F33" s="85"/>
      <c r="G33" s="87">
        <f>SUM(G30:G31)</f>
        <v>4809094376</v>
      </c>
      <c r="H33" s="86"/>
      <c r="I33" s="88">
        <f>SUM(I30:I31)</f>
        <v>1457361763</v>
      </c>
      <c r="J33" s="86"/>
      <c r="K33" s="89">
        <f>SUM(K30:K31)</f>
        <v>791097840</v>
      </c>
      <c r="L33" s="86"/>
      <c r="M33" s="88">
        <f>SUM(M30:M31)</f>
        <v>3602145599</v>
      </c>
    </row>
    <row r="34" spans="1:13" ht="21.75" customHeight="1" thickTop="1" x14ac:dyDescent="0.3">
      <c r="A34" s="62"/>
      <c r="B34" s="83"/>
      <c r="C34" s="83"/>
      <c r="D34" s="84"/>
      <c r="E34" s="84"/>
      <c r="F34" s="85"/>
      <c r="G34" s="22"/>
      <c r="H34" s="86"/>
      <c r="I34" s="23"/>
      <c r="J34" s="86"/>
      <c r="K34" s="22"/>
      <c r="L34" s="86"/>
      <c r="M34" s="23"/>
    </row>
    <row r="35" spans="1:13" ht="21.75" customHeight="1" x14ac:dyDescent="0.3">
      <c r="A35" s="62" t="s">
        <v>124</v>
      </c>
      <c r="B35" s="83"/>
      <c r="C35" s="83"/>
      <c r="D35" s="84"/>
      <c r="E35" s="84"/>
      <c r="F35" s="85"/>
      <c r="G35" s="22"/>
      <c r="H35" s="86"/>
      <c r="I35" s="23"/>
      <c r="J35" s="86"/>
      <c r="K35" s="22"/>
      <c r="L35" s="86"/>
      <c r="M35" s="23"/>
    </row>
    <row r="36" spans="1:13" ht="6" customHeight="1" x14ac:dyDescent="0.3">
      <c r="A36" s="62"/>
      <c r="B36" s="83"/>
      <c r="C36" s="83"/>
      <c r="D36" s="84"/>
      <c r="E36" s="84"/>
      <c r="F36" s="85"/>
      <c r="G36" s="22"/>
      <c r="H36" s="86"/>
      <c r="I36" s="23"/>
      <c r="J36" s="86"/>
      <c r="K36" s="22"/>
      <c r="L36" s="86"/>
      <c r="M36" s="23"/>
    </row>
    <row r="37" spans="1:13" ht="21.75" customHeight="1" x14ac:dyDescent="0.3">
      <c r="A37" s="25" t="s">
        <v>125</v>
      </c>
      <c r="B37" s="83"/>
      <c r="C37" s="83"/>
      <c r="D37" s="84"/>
      <c r="E37" s="84">
        <v>38</v>
      </c>
      <c r="F37" s="85"/>
      <c r="G37" s="90">
        <v>1.31</v>
      </c>
      <c r="H37" s="91"/>
      <c r="I37" s="92">
        <v>0.32</v>
      </c>
      <c r="J37" s="86"/>
      <c r="K37" s="90">
        <v>0.28000000000000003</v>
      </c>
      <c r="L37" s="86"/>
      <c r="M37" s="92">
        <v>1.28</v>
      </c>
    </row>
    <row r="38" spans="1:13" ht="21.75" customHeight="1" x14ac:dyDescent="0.3">
      <c r="A38" s="62"/>
      <c r="B38" s="83"/>
      <c r="C38" s="83"/>
      <c r="D38" s="84"/>
      <c r="E38" s="84"/>
      <c r="F38" s="85"/>
      <c r="G38" s="93"/>
      <c r="H38" s="93"/>
      <c r="I38" s="93"/>
      <c r="J38" s="86"/>
      <c r="K38" s="93"/>
      <c r="L38" s="86"/>
      <c r="M38" s="93"/>
    </row>
    <row r="39" spans="1:13" ht="21.75" customHeight="1" x14ac:dyDescent="0.3">
      <c r="A39" s="62"/>
      <c r="B39" s="83"/>
      <c r="C39" s="83"/>
      <c r="D39" s="84"/>
      <c r="E39" s="84"/>
      <c r="F39" s="85"/>
      <c r="G39" s="93"/>
      <c r="H39" s="93"/>
      <c r="I39" s="93"/>
      <c r="J39" s="86"/>
      <c r="K39" s="93"/>
      <c r="L39" s="86"/>
      <c r="M39" s="93"/>
    </row>
    <row r="40" spans="1:13" ht="21.75" customHeight="1" x14ac:dyDescent="0.3">
      <c r="A40" s="62"/>
      <c r="B40" s="83"/>
      <c r="C40" s="83"/>
      <c r="D40" s="84"/>
      <c r="E40" s="84"/>
      <c r="F40" s="85"/>
      <c r="G40" s="93"/>
      <c r="H40" s="93"/>
      <c r="I40" s="93"/>
      <c r="J40" s="86"/>
      <c r="K40" s="93"/>
      <c r="L40" s="86"/>
      <c r="M40" s="93"/>
    </row>
    <row r="41" spans="1:13" ht="21.75" customHeight="1" x14ac:dyDescent="0.3">
      <c r="A41" s="62"/>
      <c r="B41" s="83"/>
      <c r="C41" s="83"/>
      <c r="D41" s="84"/>
      <c r="E41" s="84"/>
      <c r="F41" s="85"/>
      <c r="G41" s="93"/>
      <c r="H41" s="93"/>
      <c r="I41" s="93"/>
      <c r="J41" s="86"/>
      <c r="K41" s="93"/>
      <c r="L41" s="86"/>
      <c r="M41" s="93"/>
    </row>
    <row r="42" spans="1:13" ht="21.75" customHeight="1" x14ac:dyDescent="0.3">
      <c r="A42" s="62"/>
      <c r="B42" s="83"/>
      <c r="C42" s="83"/>
      <c r="D42" s="84"/>
      <c r="E42" s="84"/>
      <c r="F42" s="85"/>
      <c r="G42" s="93"/>
      <c r="H42" s="93"/>
      <c r="I42" s="93"/>
      <c r="J42" s="86"/>
      <c r="K42" s="93"/>
      <c r="L42" s="86"/>
      <c r="M42" s="93"/>
    </row>
    <row r="43" spans="1:13" ht="21.75" customHeight="1" x14ac:dyDescent="0.3">
      <c r="A43" s="62"/>
      <c r="B43" s="83"/>
      <c r="C43" s="83"/>
      <c r="D43" s="84"/>
      <c r="E43" s="84"/>
      <c r="F43" s="85"/>
      <c r="G43" s="93"/>
      <c r="H43" s="93"/>
      <c r="I43" s="93"/>
      <c r="J43" s="86"/>
      <c r="K43" s="93"/>
      <c r="L43" s="86"/>
      <c r="M43" s="93"/>
    </row>
    <row r="44" spans="1:13" ht="21.75" customHeight="1" x14ac:dyDescent="0.3">
      <c r="A44" s="62"/>
      <c r="B44" s="83"/>
      <c r="C44" s="83"/>
      <c r="D44" s="84"/>
      <c r="E44" s="84"/>
      <c r="F44" s="85"/>
      <c r="G44" s="93"/>
      <c r="H44" s="93"/>
      <c r="I44" s="93"/>
      <c r="J44" s="86"/>
      <c r="K44" s="93"/>
      <c r="L44" s="86"/>
      <c r="M44" s="93"/>
    </row>
    <row r="45" spans="1:13" ht="21.75" customHeight="1" x14ac:dyDescent="0.3">
      <c r="A45" s="62"/>
      <c r="B45" s="83"/>
      <c r="C45" s="83"/>
      <c r="D45" s="84"/>
      <c r="E45" s="84"/>
      <c r="F45" s="85"/>
      <c r="G45" s="93"/>
      <c r="H45" s="93"/>
      <c r="I45" s="93"/>
      <c r="J45" s="86"/>
      <c r="K45" s="93"/>
      <c r="L45" s="86"/>
      <c r="M45" s="93"/>
    </row>
    <row r="46" spans="1:13" ht="21.75" customHeight="1" x14ac:dyDescent="0.3">
      <c r="A46" s="62"/>
      <c r="B46" s="83"/>
      <c r="C46" s="83"/>
      <c r="D46" s="84"/>
      <c r="E46" s="84"/>
      <c r="F46" s="85"/>
      <c r="G46" s="93"/>
      <c r="H46" s="93"/>
      <c r="I46" s="93"/>
      <c r="J46" s="86"/>
      <c r="K46" s="93"/>
      <c r="L46" s="86"/>
      <c r="M46" s="93"/>
    </row>
    <row r="47" spans="1:13" ht="8.25" customHeight="1" x14ac:dyDescent="0.3">
      <c r="A47" s="62"/>
      <c r="B47" s="83"/>
      <c r="C47" s="83"/>
      <c r="D47" s="84"/>
      <c r="E47" s="84"/>
      <c r="F47" s="85"/>
      <c r="G47" s="93"/>
      <c r="H47" s="93"/>
      <c r="I47" s="93"/>
      <c r="J47" s="86"/>
      <c r="K47" s="93"/>
      <c r="L47" s="86"/>
      <c r="M47" s="93"/>
    </row>
    <row r="48" spans="1:13" ht="21.9" customHeight="1" x14ac:dyDescent="0.3">
      <c r="A48" s="94" t="str">
        <f>'Thai 7-9'!A58</f>
        <v>หมายเหตุประกอบงบการเงินรวมและงบการเงินเฉพาะกิจการเป็นส่วนหนึ่งของงบการเงินนี้</v>
      </c>
      <c r="B48" s="95"/>
      <c r="C48" s="95"/>
      <c r="D48" s="96"/>
      <c r="E48" s="96"/>
      <c r="F48" s="97"/>
      <c r="G48" s="98"/>
      <c r="H48" s="99"/>
      <c r="I48" s="98"/>
      <c r="J48" s="99"/>
      <c r="K48" s="98"/>
      <c r="L48" s="99"/>
      <c r="M48" s="98"/>
    </row>
    <row r="49" spans="1:13" ht="21.75" customHeight="1" x14ac:dyDescent="0.3">
      <c r="A49" s="62" t="str">
        <f>+A1</f>
        <v>บริษัท โกลบอล เพาเวอร์ ซินเนอร์ยี่ จำกัด (มหาชน)</v>
      </c>
      <c r="B49" s="62"/>
      <c r="C49" s="62"/>
      <c r="D49" s="62"/>
      <c r="E49" s="63"/>
      <c r="F49" s="62"/>
      <c r="G49" s="1"/>
      <c r="H49" s="1"/>
      <c r="I49" s="1"/>
      <c r="J49" s="62"/>
      <c r="K49" s="1"/>
      <c r="L49" s="1"/>
      <c r="M49" s="1"/>
    </row>
    <row r="50" spans="1:13" ht="21.75" customHeight="1" x14ac:dyDescent="0.3">
      <c r="A50" s="62" t="s">
        <v>126</v>
      </c>
      <c r="B50" s="62"/>
      <c r="C50" s="62"/>
      <c r="D50" s="62"/>
      <c r="E50" s="63"/>
      <c r="F50" s="62"/>
      <c r="G50" s="1"/>
      <c r="H50" s="1"/>
      <c r="I50" s="1"/>
      <c r="J50" s="62"/>
      <c r="K50" s="1"/>
      <c r="L50" s="1"/>
      <c r="M50" s="1"/>
    </row>
    <row r="51" spans="1:13" ht="21.75" customHeight="1" x14ac:dyDescent="0.3">
      <c r="A51" s="64" t="str">
        <f>A3</f>
        <v>สำหรับปีสิ้นสุดวันที่ 31 ธันวาคม พ.ศ. 2566</v>
      </c>
      <c r="B51" s="64"/>
      <c r="C51" s="64"/>
      <c r="D51" s="64"/>
      <c r="E51" s="65"/>
      <c r="F51" s="64"/>
      <c r="G51" s="66"/>
      <c r="H51" s="66"/>
      <c r="I51" s="66"/>
      <c r="J51" s="64"/>
      <c r="K51" s="66"/>
      <c r="L51" s="66"/>
      <c r="M51" s="66"/>
    </row>
    <row r="52" spans="1:13" ht="21.75" customHeight="1" x14ac:dyDescent="0.3">
      <c r="A52" s="62"/>
      <c r="B52" s="62"/>
      <c r="C52" s="62"/>
      <c r="D52" s="62"/>
      <c r="E52" s="63"/>
      <c r="F52" s="62"/>
      <c r="G52" s="1"/>
      <c r="H52" s="1"/>
      <c r="I52" s="1"/>
      <c r="J52" s="62"/>
      <c r="K52" s="1"/>
      <c r="L52" s="1"/>
      <c r="M52" s="1"/>
    </row>
    <row r="53" spans="1:13" ht="20.7" customHeight="1" x14ac:dyDescent="0.3">
      <c r="A53" s="62"/>
      <c r="B53" s="62"/>
      <c r="C53" s="62"/>
      <c r="D53" s="62"/>
      <c r="E53" s="63"/>
      <c r="F53" s="62"/>
      <c r="G53" s="115" t="s">
        <v>3</v>
      </c>
      <c r="H53" s="115"/>
      <c r="I53" s="115"/>
      <c r="J53" s="67"/>
      <c r="K53" s="114" t="s">
        <v>4</v>
      </c>
      <c r="L53" s="114"/>
      <c r="M53" s="114"/>
    </row>
    <row r="54" spans="1:13" ht="20.7" customHeight="1" x14ac:dyDescent="0.3">
      <c r="A54" s="62" t="s">
        <v>103</v>
      </c>
      <c r="B54" s="62"/>
      <c r="C54" s="62"/>
      <c r="D54" s="62"/>
      <c r="E54" s="25"/>
      <c r="F54" s="62"/>
      <c r="G54" s="14" t="s">
        <v>5</v>
      </c>
      <c r="H54" s="15"/>
      <c r="I54" s="14" t="s">
        <v>6</v>
      </c>
      <c r="J54" s="16"/>
      <c r="K54" s="14" t="s">
        <v>5</v>
      </c>
      <c r="L54" s="15"/>
      <c r="M54" s="14" t="s">
        <v>6</v>
      </c>
    </row>
    <row r="55" spans="1:13" ht="20.7" customHeight="1" x14ac:dyDescent="0.3">
      <c r="A55" s="62"/>
      <c r="B55" s="62"/>
      <c r="C55" s="62"/>
      <c r="D55" s="62"/>
      <c r="E55" s="65" t="s">
        <v>7</v>
      </c>
      <c r="F55" s="62"/>
      <c r="G55" s="68" t="s">
        <v>8</v>
      </c>
      <c r="H55" s="15"/>
      <c r="I55" s="68" t="s">
        <v>8</v>
      </c>
      <c r="J55" s="19"/>
      <c r="K55" s="68" t="s">
        <v>8</v>
      </c>
      <c r="L55" s="15"/>
      <c r="M55" s="68" t="s">
        <v>8</v>
      </c>
    </row>
    <row r="56" spans="1:13" ht="6" customHeight="1" x14ac:dyDescent="0.3">
      <c r="A56" s="62"/>
      <c r="B56" s="62"/>
      <c r="C56" s="62"/>
      <c r="D56" s="62"/>
      <c r="E56" s="63"/>
      <c r="F56" s="62"/>
      <c r="G56" s="22"/>
      <c r="H56" s="15"/>
      <c r="I56" s="23"/>
      <c r="J56" s="19"/>
      <c r="K56" s="22"/>
      <c r="L56" s="15"/>
      <c r="M56" s="23"/>
    </row>
    <row r="57" spans="1:13" ht="20.7" customHeight="1" x14ac:dyDescent="0.3">
      <c r="A57" s="62" t="s">
        <v>120</v>
      </c>
      <c r="B57" s="62"/>
      <c r="C57" s="62"/>
      <c r="D57" s="62"/>
      <c r="E57" s="63"/>
      <c r="F57" s="62"/>
      <c r="G57" s="78">
        <v>4809094376</v>
      </c>
      <c r="H57" s="24"/>
      <c r="I57" s="79">
        <v>1457361763</v>
      </c>
      <c r="J57" s="24"/>
      <c r="K57" s="78">
        <v>791097840</v>
      </c>
      <c r="L57" s="24"/>
      <c r="M57" s="79">
        <v>3602145599</v>
      </c>
    </row>
    <row r="58" spans="1:13" ht="15" customHeight="1" x14ac:dyDescent="0.3">
      <c r="A58" s="62"/>
      <c r="B58" s="25"/>
      <c r="C58" s="25"/>
      <c r="D58" s="20"/>
      <c r="E58" s="21"/>
      <c r="F58" s="71"/>
      <c r="G58" s="27"/>
      <c r="H58" s="24"/>
      <c r="I58" s="24"/>
      <c r="J58" s="24"/>
      <c r="K58" s="27"/>
      <c r="L58" s="24"/>
      <c r="M58" s="24"/>
    </row>
    <row r="59" spans="1:13" ht="20.7" customHeight="1" x14ac:dyDescent="0.3">
      <c r="A59" s="62" t="s">
        <v>127</v>
      </c>
      <c r="B59" s="20"/>
      <c r="C59" s="20"/>
      <c r="D59" s="21"/>
      <c r="E59" s="21"/>
      <c r="F59" s="71"/>
      <c r="G59" s="22"/>
      <c r="H59" s="24"/>
      <c r="I59" s="23"/>
      <c r="J59" s="24"/>
      <c r="K59" s="22"/>
      <c r="L59" s="24"/>
      <c r="M59" s="23"/>
    </row>
    <row r="60" spans="1:13" ht="20.7" customHeight="1" x14ac:dyDescent="0.3">
      <c r="A60" s="25" t="s">
        <v>128</v>
      </c>
      <c r="B60" s="20"/>
      <c r="C60" s="25"/>
      <c r="D60" s="25"/>
      <c r="E60" s="21"/>
      <c r="F60" s="71"/>
      <c r="G60" s="22"/>
      <c r="H60" s="24"/>
      <c r="I60" s="23"/>
      <c r="J60" s="24"/>
      <c r="K60" s="22"/>
      <c r="L60" s="24"/>
      <c r="M60" s="23"/>
    </row>
    <row r="61" spans="1:13" ht="20.7" customHeight="1" x14ac:dyDescent="0.3">
      <c r="A61" s="62"/>
      <c r="B61" s="25" t="s">
        <v>129</v>
      </c>
      <c r="C61" s="20"/>
      <c r="D61" s="25"/>
      <c r="E61" s="21"/>
      <c r="F61" s="71"/>
      <c r="G61" s="27"/>
      <c r="H61" s="24"/>
      <c r="I61" s="24"/>
      <c r="J61" s="24"/>
      <c r="K61" s="27"/>
      <c r="L61" s="24"/>
      <c r="M61" s="24"/>
    </row>
    <row r="62" spans="1:13" ht="20.7" customHeight="1" x14ac:dyDescent="0.3">
      <c r="A62" s="62"/>
      <c r="B62" s="25"/>
      <c r="C62" s="25" t="s">
        <v>130</v>
      </c>
      <c r="D62" s="20"/>
      <c r="E62" s="21"/>
      <c r="F62" s="71"/>
      <c r="G62" s="27">
        <v>13852419</v>
      </c>
      <c r="H62" s="24"/>
      <c r="I62" s="24">
        <v>562388890</v>
      </c>
      <c r="J62" s="24"/>
      <c r="K62" s="27">
        <v>0</v>
      </c>
      <c r="L62" s="24"/>
      <c r="M62" s="24">
        <v>0</v>
      </c>
    </row>
    <row r="63" spans="1:13" ht="20.7" customHeight="1" x14ac:dyDescent="0.3">
      <c r="A63" s="62"/>
      <c r="B63" s="25"/>
      <c r="C63" s="25" t="s">
        <v>131</v>
      </c>
      <c r="D63" s="20"/>
      <c r="E63" s="21"/>
      <c r="F63" s="71"/>
      <c r="G63" s="27">
        <v>22003546</v>
      </c>
      <c r="H63" s="24"/>
      <c r="I63" s="24">
        <v>-28324696</v>
      </c>
      <c r="J63" s="24"/>
      <c r="K63" s="27">
        <v>0</v>
      </c>
      <c r="L63" s="24"/>
      <c r="M63" s="24">
        <v>0</v>
      </c>
    </row>
    <row r="64" spans="1:13" ht="20.7" customHeight="1" x14ac:dyDescent="0.3">
      <c r="A64" s="62"/>
      <c r="B64" s="25"/>
      <c r="C64" s="25" t="s">
        <v>132</v>
      </c>
      <c r="D64" s="20"/>
      <c r="E64" s="21"/>
      <c r="F64" s="71"/>
      <c r="G64" s="27"/>
      <c r="H64" s="24"/>
      <c r="I64" s="24"/>
      <c r="J64" s="24"/>
      <c r="K64" s="27"/>
      <c r="L64" s="24"/>
      <c r="M64" s="24"/>
    </row>
    <row r="65" spans="1:13" ht="20.7" customHeight="1" x14ac:dyDescent="0.3">
      <c r="A65" s="62"/>
      <c r="B65" s="25"/>
      <c r="C65" s="25"/>
      <c r="D65" s="20" t="s">
        <v>133</v>
      </c>
      <c r="E65" s="21">
        <v>19</v>
      </c>
      <c r="F65" s="71"/>
      <c r="G65" s="27">
        <v>-382566124</v>
      </c>
      <c r="H65" s="24"/>
      <c r="I65" s="24">
        <v>-1928289685</v>
      </c>
      <c r="J65" s="24"/>
      <c r="K65" s="27">
        <v>0</v>
      </c>
      <c r="L65" s="24"/>
      <c r="M65" s="24">
        <v>0</v>
      </c>
    </row>
    <row r="66" spans="1:13" ht="20.7" customHeight="1" x14ac:dyDescent="0.3">
      <c r="A66" s="62"/>
      <c r="B66" s="25"/>
      <c r="C66" s="25" t="s">
        <v>148</v>
      </c>
      <c r="D66" s="20"/>
      <c r="E66" s="21"/>
      <c r="F66" s="71"/>
      <c r="G66" s="27"/>
      <c r="H66" s="24"/>
      <c r="I66" s="24"/>
      <c r="J66" s="24"/>
      <c r="K66" s="27"/>
      <c r="L66" s="24"/>
      <c r="M66" s="24"/>
    </row>
    <row r="67" spans="1:13" ht="20.7" customHeight="1" x14ac:dyDescent="0.3">
      <c r="A67" s="62"/>
      <c r="B67" s="25"/>
      <c r="D67" s="20" t="s">
        <v>149</v>
      </c>
      <c r="E67" s="21"/>
      <c r="F67" s="71"/>
      <c r="G67" s="27">
        <v>2344215</v>
      </c>
      <c r="H67" s="24"/>
      <c r="I67" s="24">
        <v>533633324</v>
      </c>
      <c r="J67" s="24"/>
      <c r="K67" s="27">
        <v>0</v>
      </c>
      <c r="L67" s="24"/>
      <c r="M67" s="24">
        <v>0</v>
      </c>
    </row>
    <row r="68" spans="1:13" ht="20.7" customHeight="1" x14ac:dyDescent="0.3">
      <c r="A68" s="62"/>
      <c r="B68" s="25"/>
      <c r="C68" s="25" t="s">
        <v>134</v>
      </c>
      <c r="D68" s="20"/>
      <c r="E68" s="21"/>
      <c r="F68" s="71"/>
      <c r="G68" s="27"/>
      <c r="H68" s="24"/>
      <c r="I68" s="24"/>
      <c r="J68" s="24"/>
      <c r="K68" s="27"/>
      <c r="L68" s="24"/>
      <c r="M68" s="24"/>
    </row>
    <row r="69" spans="1:13" ht="20.7" customHeight="1" x14ac:dyDescent="0.3">
      <c r="A69" s="62"/>
      <c r="B69" s="25"/>
      <c r="C69" s="25"/>
      <c r="D69" s="20" t="s">
        <v>135</v>
      </c>
      <c r="E69" s="21"/>
      <c r="F69" s="71"/>
      <c r="G69" s="78">
        <v>-10471694</v>
      </c>
      <c r="H69" s="24"/>
      <c r="I69" s="79">
        <v>-35386184</v>
      </c>
      <c r="J69" s="24"/>
      <c r="K69" s="78">
        <v>0</v>
      </c>
      <c r="L69" s="24"/>
      <c r="M69" s="79">
        <v>0</v>
      </c>
    </row>
    <row r="70" spans="1:13" ht="6" customHeight="1" x14ac:dyDescent="0.3">
      <c r="A70" s="62"/>
      <c r="B70" s="25"/>
      <c r="C70" s="25"/>
      <c r="D70" s="20"/>
      <c r="E70" s="21"/>
      <c r="F70" s="71"/>
      <c r="G70" s="27"/>
      <c r="H70" s="24"/>
      <c r="I70" s="24"/>
      <c r="J70" s="24"/>
      <c r="K70" s="27"/>
      <c r="L70" s="24"/>
      <c r="M70" s="24"/>
    </row>
    <row r="71" spans="1:13" ht="20.7" customHeight="1" x14ac:dyDescent="0.3">
      <c r="A71" s="62"/>
      <c r="B71" s="25"/>
      <c r="C71" s="25" t="s">
        <v>136</v>
      </c>
      <c r="D71" s="20"/>
      <c r="E71" s="21"/>
      <c r="F71" s="71"/>
      <c r="G71" s="27"/>
      <c r="H71" s="24"/>
      <c r="I71" s="24"/>
      <c r="J71" s="24"/>
      <c r="K71" s="27"/>
      <c r="L71" s="24"/>
      <c r="M71" s="24"/>
    </row>
    <row r="72" spans="1:13" ht="20.7" customHeight="1" x14ac:dyDescent="0.3">
      <c r="A72" s="62"/>
      <c r="B72" s="25"/>
      <c r="C72" s="25"/>
      <c r="D72" s="20" t="s">
        <v>137</v>
      </c>
      <c r="E72" s="21"/>
      <c r="F72" s="71"/>
      <c r="G72" s="78">
        <f>SUM(G62:G69)</f>
        <v>-354837638</v>
      </c>
      <c r="H72" s="24"/>
      <c r="I72" s="79">
        <f>SUM(I62:I69)</f>
        <v>-895978351</v>
      </c>
      <c r="J72" s="24"/>
      <c r="K72" s="78">
        <f>SUM(K62:K69)</f>
        <v>0</v>
      </c>
      <c r="L72" s="24"/>
      <c r="M72" s="79">
        <f>SUM(M62:M69)</f>
        <v>0</v>
      </c>
    </row>
    <row r="73" spans="1:13" ht="15" customHeight="1" x14ac:dyDescent="0.3">
      <c r="A73" s="62"/>
      <c r="B73" s="25"/>
      <c r="C73" s="25"/>
      <c r="D73" s="20"/>
      <c r="E73" s="21"/>
      <c r="F73" s="71"/>
      <c r="G73" s="27"/>
      <c r="H73" s="24"/>
      <c r="I73" s="24"/>
      <c r="J73" s="24"/>
      <c r="K73" s="27"/>
      <c r="L73" s="24"/>
      <c r="M73" s="24"/>
    </row>
    <row r="74" spans="1:13" ht="20.7" customHeight="1" x14ac:dyDescent="0.3">
      <c r="A74" s="25" t="s">
        <v>138</v>
      </c>
      <c r="B74" s="25"/>
      <c r="C74" s="25"/>
      <c r="D74" s="20"/>
      <c r="E74" s="21"/>
      <c r="F74" s="71"/>
      <c r="G74" s="27"/>
      <c r="H74" s="24"/>
      <c r="I74" s="24"/>
      <c r="J74" s="24"/>
      <c r="K74" s="27"/>
      <c r="L74" s="24"/>
      <c r="M74" s="24"/>
    </row>
    <row r="75" spans="1:13" ht="20.7" customHeight="1" x14ac:dyDescent="0.3">
      <c r="A75" s="62"/>
      <c r="B75" s="25" t="s">
        <v>129</v>
      </c>
      <c r="C75" s="25"/>
      <c r="D75" s="20"/>
      <c r="E75" s="21"/>
      <c r="F75" s="71"/>
      <c r="G75" s="27"/>
      <c r="H75" s="24"/>
      <c r="I75" s="24"/>
      <c r="J75" s="24"/>
      <c r="K75" s="27"/>
      <c r="L75" s="24"/>
      <c r="M75" s="24"/>
    </row>
    <row r="76" spans="1:13" ht="20.7" customHeight="1" x14ac:dyDescent="0.3">
      <c r="A76" s="62"/>
      <c r="B76" s="25"/>
      <c r="C76" s="25" t="s">
        <v>146</v>
      </c>
      <c r="D76" s="20"/>
      <c r="E76" s="21"/>
      <c r="F76" s="71"/>
      <c r="G76" s="27">
        <v>261501850</v>
      </c>
      <c r="H76" s="24"/>
      <c r="I76" s="24">
        <v>0</v>
      </c>
      <c r="J76" s="24"/>
      <c r="K76" s="27">
        <v>220240021</v>
      </c>
      <c r="L76" s="24"/>
      <c r="M76" s="24">
        <v>0</v>
      </c>
    </row>
    <row r="77" spans="1:13" ht="20.7" customHeight="1" x14ac:dyDescent="0.3">
      <c r="A77" s="25"/>
      <c r="B77" s="25"/>
      <c r="C77" s="25" t="s">
        <v>139</v>
      </c>
      <c r="D77" s="25"/>
      <c r="E77" s="21"/>
      <c r="F77" s="71"/>
      <c r="G77" s="27"/>
      <c r="H77" s="24"/>
      <c r="I77" s="24"/>
      <c r="J77" s="24"/>
      <c r="K77" s="27"/>
      <c r="L77" s="24"/>
      <c r="M77" s="24"/>
    </row>
    <row r="78" spans="1:13" ht="20.7" customHeight="1" x14ac:dyDescent="0.3">
      <c r="A78" s="62"/>
      <c r="B78" s="25"/>
      <c r="C78" s="25"/>
      <c r="D78" s="20" t="s">
        <v>140</v>
      </c>
      <c r="E78" s="21"/>
      <c r="F78" s="71"/>
      <c r="G78" s="27">
        <v>-548890652</v>
      </c>
      <c r="H78" s="24"/>
      <c r="I78" s="24">
        <v>58970963</v>
      </c>
      <c r="J78" s="24"/>
      <c r="K78" s="27">
        <v>-548890652</v>
      </c>
      <c r="L78" s="24"/>
      <c r="M78" s="24">
        <v>69823735</v>
      </c>
    </row>
    <row r="79" spans="1:13" ht="20.7" customHeight="1" x14ac:dyDescent="0.3">
      <c r="A79" s="62"/>
      <c r="B79" s="25"/>
      <c r="C79" s="25" t="s">
        <v>147</v>
      </c>
      <c r="D79" s="20"/>
      <c r="E79" s="21"/>
      <c r="F79" s="71"/>
      <c r="G79" s="27"/>
      <c r="H79" s="24"/>
      <c r="I79" s="24"/>
      <c r="J79" s="24"/>
      <c r="K79" s="27"/>
      <c r="L79" s="24"/>
      <c r="M79" s="24"/>
    </row>
    <row r="80" spans="1:13" ht="20.7" customHeight="1" x14ac:dyDescent="0.3">
      <c r="A80" s="62"/>
      <c r="B80" s="25"/>
      <c r="C80" s="25"/>
      <c r="D80" s="20" t="s">
        <v>133</v>
      </c>
      <c r="E80" s="21"/>
      <c r="F80" s="71"/>
      <c r="G80" s="27">
        <v>39869173</v>
      </c>
      <c r="H80" s="24"/>
      <c r="I80" s="24">
        <v>-43135756</v>
      </c>
      <c r="J80" s="24"/>
      <c r="K80" s="27">
        <v>0</v>
      </c>
      <c r="L80" s="24"/>
      <c r="M80" s="24">
        <v>0</v>
      </c>
    </row>
    <row r="81" spans="1:16" ht="20.7" customHeight="1" x14ac:dyDescent="0.3">
      <c r="A81" s="62"/>
      <c r="B81" s="25"/>
      <c r="C81" s="25" t="s">
        <v>141</v>
      </c>
      <c r="D81" s="20"/>
      <c r="E81" s="21"/>
      <c r="F81" s="71"/>
      <c r="G81" s="27"/>
      <c r="H81" s="24"/>
      <c r="I81" s="24"/>
      <c r="J81" s="24"/>
      <c r="K81" s="27"/>
      <c r="L81" s="24"/>
      <c r="M81" s="24"/>
    </row>
    <row r="82" spans="1:16" ht="20.7" customHeight="1" x14ac:dyDescent="0.3">
      <c r="A82" s="62"/>
      <c r="B82" s="25"/>
      <c r="C82" s="25"/>
      <c r="D82" s="20" t="s">
        <v>135</v>
      </c>
      <c r="E82" s="21"/>
      <c r="F82" s="71"/>
      <c r="G82" s="78">
        <v>55165012</v>
      </c>
      <c r="H82" s="24"/>
      <c r="I82" s="79">
        <v>-11804776</v>
      </c>
      <c r="J82" s="24"/>
      <c r="K82" s="78">
        <v>65730126</v>
      </c>
      <c r="L82" s="24"/>
      <c r="M82" s="79">
        <v>-13964747</v>
      </c>
    </row>
    <row r="83" spans="1:16" ht="6" customHeight="1" x14ac:dyDescent="0.3">
      <c r="A83" s="62"/>
      <c r="B83" s="25"/>
      <c r="C83" s="25"/>
      <c r="D83" s="20"/>
      <c r="E83" s="21"/>
      <c r="F83" s="71"/>
      <c r="G83" s="27"/>
      <c r="H83" s="24"/>
      <c r="I83" s="24"/>
      <c r="J83" s="24"/>
      <c r="K83" s="27"/>
      <c r="L83" s="24"/>
      <c r="M83" s="24"/>
    </row>
    <row r="84" spans="1:16" ht="20.7" customHeight="1" x14ac:dyDescent="0.3">
      <c r="A84" s="62"/>
      <c r="B84" s="25"/>
      <c r="C84" s="25" t="s">
        <v>142</v>
      </c>
      <c r="D84" s="20"/>
      <c r="E84" s="21"/>
      <c r="F84" s="71"/>
      <c r="G84" s="27"/>
      <c r="H84" s="24"/>
      <c r="I84" s="24"/>
      <c r="J84" s="24"/>
      <c r="K84" s="27"/>
      <c r="L84" s="24"/>
      <c r="M84" s="24"/>
    </row>
    <row r="85" spans="1:16" ht="20.7" customHeight="1" x14ac:dyDescent="0.3">
      <c r="A85" s="62"/>
      <c r="B85" s="25"/>
      <c r="C85" s="25"/>
      <c r="D85" s="20" t="s">
        <v>137</v>
      </c>
      <c r="E85" s="21"/>
      <c r="F85" s="71"/>
      <c r="G85" s="27">
        <f>SUM(G75:G82)</f>
        <v>-192354617</v>
      </c>
      <c r="H85" s="24"/>
      <c r="I85" s="24">
        <f>SUM(I75:I82)</f>
        <v>4030431</v>
      </c>
      <c r="J85" s="24"/>
      <c r="K85" s="27">
        <f>SUM(K75:K82)</f>
        <v>-262920505</v>
      </c>
      <c r="L85" s="24"/>
      <c r="M85" s="24">
        <f>SUM(M75:M82)</f>
        <v>55858988</v>
      </c>
    </row>
    <row r="86" spans="1:16" ht="6" customHeight="1" x14ac:dyDescent="0.3">
      <c r="A86" s="62"/>
      <c r="B86" s="20"/>
      <c r="C86" s="20"/>
      <c r="D86" s="21"/>
      <c r="E86" s="21"/>
      <c r="F86" s="71"/>
      <c r="G86" s="100"/>
      <c r="H86" s="24"/>
      <c r="I86" s="101"/>
      <c r="J86" s="24"/>
      <c r="K86" s="100"/>
      <c r="L86" s="24"/>
      <c r="M86" s="101"/>
    </row>
    <row r="87" spans="1:16" ht="20.7" customHeight="1" x14ac:dyDescent="0.3">
      <c r="A87" s="62" t="s">
        <v>143</v>
      </c>
      <c r="B87" s="83"/>
      <c r="C87" s="83"/>
      <c r="D87" s="84"/>
      <c r="E87" s="84"/>
      <c r="F87" s="85"/>
      <c r="G87" s="72">
        <f>G85+G72</f>
        <v>-547192255</v>
      </c>
      <c r="H87" s="86"/>
      <c r="I87" s="73">
        <f>I85+I72</f>
        <v>-891947920</v>
      </c>
      <c r="J87" s="86"/>
      <c r="K87" s="72">
        <f>K85+K72</f>
        <v>-262920505</v>
      </c>
      <c r="L87" s="86"/>
      <c r="M87" s="73">
        <f>M85+M72</f>
        <v>55858988</v>
      </c>
    </row>
    <row r="88" spans="1:16" ht="6" customHeight="1" x14ac:dyDescent="0.3">
      <c r="A88" s="62"/>
      <c r="B88" s="83"/>
      <c r="C88" s="83"/>
      <c r="D88" s="84"/>
      <c r="E88" s="84"/>
      <c r="F88" s="85"/>
      <c r="G88" s="102"/>
      <c r="H88" s="86"/>
      <c r="I88" s="103"/>
      <c r="J88" s="86"/>
      <c r="K88" s="102"/>
      <c r="L88" s="86"/>
      <c r="M88" s="103"/>
    </row>
    <row r="89" spans="1:16" ht="20.7" customHeight="1" thickBot="1" x14ac:dyDescent="0.35">
      <c r="A89" s="62" t="s">
        <v>144</v>
      </c>
      <c r="B89" s="83"/>
      <c r="C89" s="83"/>
      <c r="D89" s="84"/>
      <c r="E89" s="84"/>
      <c r="F89" s="85"/>
      <c r="G89" s="104">
        <f>G27+G87</f>
        <v>4261902121</v>
      </c>
      <c r="H89" s="86"/>
      <c r="I89" s="105">
        <f>I27+I87</f>
        <v>565413843</v>
      </c>
      <c r="J89" s="86"/>
      <c r="K89" s="104">
        <f>K57+K87</f>
        <v>528177335</v>
      </c>
      <c r="L89" s="86"/>
      <c r="M89" s="105">
        <f>M57+M87</f>
        <v>3658004587</v>
      </c>
      <c r="P89" s="112"/>
    </row>
    <row r="90" spans="1:16" ht="15" customHeight="1" thickTop="1" x14ac:dyDescent="0.3">
      <c r="A90" s="62"/>
      <c r="B90" s="83"/>
      <c r="C90" s="83"/>
      <c r="D90" s="84"/>
      <c r="E90" s="84"/>
      <c r="F90" s="85"/>
      <c r="G90" s="102"/>
      <c r="H90" s="93"/>
      <c r="I90" s="103"/>
      <c r="J90" s="86"/>
      <c r="K90" s="102"/>
      <c r="L90" s="86"/>
      <c r="M90" s="103"/>
    </row>
    <row r="91" spans="1:16" ht="20.7" customHeight="1" x14ac:dyDescent="0.3">
      <c r="A91" s="62" t="s">
        <v>145</v>
      </c>
      <c r="B91" s="83"/>
      <c r="C91" s="83"/>
      <c r="D91" s="84"/>
      <c r="E91" s="84"/>
      <c r="F91" s="85"/>
      <c r="G91" s="102"/>
      <c r="H91" s="106"/>
      <c r="I91" s="103"/>
      <c r="J91" s="86"/>
      <c r="K91" s="102"/>
      <c r="L91" s="106"/>
      <c r="M91" s="103"/>
      <c r="P91" s="112"/>
    </row>
    <row r="92" spans="1:16" ht="20.7" customHeight="1" x14ac:dyDescent="0.3">
      <c r="A92" s="83"/>
      <c r="B92" s="25" t="s">
        <v>122</v>
      </c>
      <c r="C92" s="83"/>
      <c r="D92" s="84"/>
      <c r="E92" s="84"/>
      <c r="F92" s="85"/>
      <c r="G92" s="102">
        <v>3156918294</v>
      </c>
      <c r="H92" s="106"/>
      <c r="I92" s="103">
        <v>-240348374</v>
      </c>
      <c r="J92" s="86"/>
      <c r="K92" s="102">
        <v>528177335</v>
      </c>
      <c r="L92" s="106"/>
      <c r="M92" s="103">
        <v>3658004587</v>
      </c>
    </row>
    <row r="93" spans="1:16" ht="20.7" customHeight="1" x14ac:dyDescent="0.3">
      <c r="A93" s="83"/>
      <c r="B93" s="25" t="s">
        <v>123</v>
      </c>
      <c r="C93" s="83"/>
      <c r="D93" s="84"/>
      <c r="E93" s="84"/>
      <c r="F93" s="85"/>
      <c r="G93" s="102">
        <v>1104983827</v>
      </c>
      <c r="H93" s="93"/>
      <c r="I93" s="103">
        <v>805762217</v>
      </c>
      <c r="J93" s="93"/>
      <c r="K93" s="107">
        <v>0</v>
      </c>
      <c r="L93" s="93"/>
      <c r="M93" s="77">
        <v>0</v>
      </c>
    </row>
    <row r="94" spans="1:16" ht="6" customHeight="1" x14ac:dyDescent="0.3">
      <c r="A94" s="108"/>
      <c r="B94" s="83"/>
      <c r="C94" s="83"/>
      <c r="D94" s="84"/>
      <c r="E94" s="84"/>
      <c r="F94" s="85"/>
      <c r="G94" s="109"/>
      <c r="H94" s="93"/>
      <c r="I94" s="110"/>
      <c r="J94" s="93"/>
      <c r="K94" s="109"/>
      <c r="L94" s="93"/>
      <c r="M94" s="110"/>
    </row>
    <row r="95" spans="1:16" ht="20.7" customHeight="1" thickBot="1" x14ac:dyDescent="0.35">
      <c r="A95" s="83"/>
      <c r="B95" s="83"/>
      <c r="C95" s="83"/>
      <c r="D95" s="84"/>
      <c r="E95" s="84"/>
      <c r="F95" s="85"/>
      <c r="G95" s="104">
        <f>G92+G93</f>
        <v>4261902121</v>
      </c>
      <c r="H95" s="106"/>
      <c r="I95" s="105">
        <f>I92+I93</f>
        <v>565413843</v>
      </c>
      <c r="J95" s="86"/>
      <c r="K95" s="104">
        <f>K92+K93</f>
        <v>528177335</v>
      </c>
      <c r="L95" s="106"/>
      <c r="M95" s="105">
        <f>M92+M93</f>
        <v>3658004587</v>
      </c>
    </row>
    <row r="96" spans="1:16" ht="22.5" customHeight="1" thickTop="1" x14ac:dyDescent="0.3">
      <c r="A96" s="83"/>
      <c r="B96" s="83"/>
      <c r="C96" s="83"/>
      <c r="D96" s="84"/>
      <c r="E96" s="84"/>
      <c r="F96" s="85"/>
      <c r="G96" s="103"/>
      <c r="H96" s="106"/>
      <c r="I96" s="103"/>
      <c r="J96" s="86"/>
      <c r="K96" s="103"/>
      <c r="L96" s="106"/>
      <c r="M96" s="103"/>
    </row>
    <row r="97" spans="1:13" ht="21.75" customHeight="1" x14ac:dyDescent="0.3">
      <c r="A97" s="83"/>
      <c r="B97" s="83"/>
      <c r="C97" s="83"/>
      <c r="D97" s="84"/>
      <c r="E97" s="84"/>
      <c r="F97" s="85"/>
      <c r="G97" s="103"/>
      <c r="H97" s="106"/>
      <c r="I97" s="103"/>
      <c r="J97" s="86"/>
      <c r="K97" s="103"/>
      <c r="L97" s="106"/>
      <c r="M97" s="103"/>
    </row>
    <row r="98" spans="1:13" ht="21.9" customHeight="1" x14ac:dyDescent="0.3">
      <c r="A98" s="94" t="str">
        <f>A48</f>
        <v>หมายเหตุประกอบงบการเงินรวมและงบการเงินเฉพาะกิจการเป็นส่วนหนึ่งของงบการเงินนี้</v>
      </c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</row>
    <row r="99" spans="1:13" ht="21.75" customHeight="1" x14ac:dyDescent="0.3">
      <c r="G99" s="112"/>
      <c r="I99" s="112"/>
      <c r="K99" s="112"/>
      <c r="M99" s="112"/>
    </row>
    <row r="100" spans="1:13" ht="21.75" customHeight="1" x14ac:dyDescent="0.3">
      <c r="G100" s="112"/>
      <c r="I100" s="112"/>
      <c r="K100" s="112"/>
      <c r="M100" s="112"/>
    </row>
  </sheetData>
  <mergeCells count="4">
    <mergeCell ref="G5:I5"/>
    <mergeCell ref="K5:M5"/>
    <mergeCell ref="G53:I53"/>
    <mergeCell ref="K53:M53"/>
  </mergeCells>
  <pageMargins left="0.8" right="0.5" top="0.5" bottom="0.6" header="0.49" footer="0.4"/>
  <pageSetup paperSize="9" scale="85" firstPageNumber="10" orientation="portrait" useFirstPageNumber="1" horizontalDpi="1200" verticalDpi="1200" r:id="rId1"/>
  <headerFooter>
    <oddFooter>&amp;R&amp;"Browallia New,Regular"&amp;13&amp;P</oddFooter>
  </headerFooter>
  <rowBreaks count="1" manualBreakCount="1">
    <brk id="4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827AA159B22409D848A90D7FCEAED" ma:contentTypeVersion="12" ma:contentTypeDescription="Create a new document." ma:contentTypeScope="" ma:versionID="161cd2991277cfa56fd28fa75363b419">
  <xsd:schema xmlns:xsd="http://www.w3.org/2001/XMLSchema" xmlns:xs="http://www.w3.org/2001/XMLSchema" xmlns:p="http://schemas.microsoft.com/office/2006/metadata/properties" xmlns:ns2="c6ea0139-c808-40c7-926c-11edc578932a" xmlns:ns3="3b12176a-03ac-4acc-bcdd-aee4538e62e9" targetNamespace="http://schemas.microsoft.com/office/2006/metadata/properties" ma:root="true" ma:fieldsID="cbbe943bbe81be42bd2479cb7d933b08" ns2:_="" ns3:_="">
    <xsd:import namespace="c6ea0139-c808-40c7-926c-11edc578932a"/>
    <xsd:import namespace="3b12176a-03ac-4acc-bcdd-aee4538e62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a0139-c808-40c7-926c-11edc5789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2176a-03ac-4acc-bcdd-aee4538e62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0d9554-0ffe-48cf-97d9-3147f61016b7}" ma:internalName="TaxCatchAll" ma:showField="CatchAllData" ma:web="3b12176a-03ac-4acc-bcdd-aee4538e62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ea0139-c808-40c7-926c-11edc578932a">
      <Terms xmlns="http://schemas.microsoft.com/office/infopath/2007/PartnerControls"/>
    </lcf76f155ced4ddcb4097134ff3c332f>
    <TaxCatchAll xmlns="3b12176a-03ac-4acc-bcdd-aee4538e62e9" xsi:nil="true"/>
  </documentManagement>
</p:properties>
</file>

<file path=customXml/itemProps1.xml><?xml version="1.0" encoding="utf-8"?>
<ds:datastoreItem xmlns:ds="http://schemas.openxmlformats.org/officeDocument/2006/customXml" ds:itemID="{A45A29C8-D7B7-435C-BDAD-46C2508A4822}"/>
</file>

<file path=customXml/itemProps2.xml><?xml version="1.0" encoding="utf-8"?>
<ds:datastoreItem xmlns:ds="http://schemas.openxmlformats.org/officeDocument/2006/customXml" ds:itemID="{3E7061D7-0D69-459F-978E-461B08F6C60C}"/>
</file>

<file path=customXml/itemProps3.xml><?xml version="1.0" encoding="utf-8"?>
<ds:datastoreItem xmlns:ds="http://schemas.openxmlformats.org/officeDocument/2006/customXml" ds:itemID="{18FF13B2-C150-4ED8-B441-55B64AF0AF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Thai 7-9</vt:lpstr>
      <vt:lpstr>Thai 10-11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Kodchawan Srikaewpraphan (TH)</dc:creator>
  <cp:lastModifiedBy>Chaosanguan, Siraput</cp:lastModifiedBy>
  <cp:lastPrinted>2024-02-09T04:43:41Z</cp:lastPrinted>
  <dcterms:created xsi:type="dcterms:W3CDTF">2024-01-31T04:09:58Z</dcterms:created>
  <dcterms:modified xsi:type="dcterms:W3CDTF">2025-02-28T04:06:51Z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0x010100CA1827AA159B22409D848A90D7FCEAED</vt:lpwstr>
  </property>
</Properties>
</file>