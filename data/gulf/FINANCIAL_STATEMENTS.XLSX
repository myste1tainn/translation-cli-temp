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siraput_chaosanguan_accenture_com/Documents/01 Project/21. KTB_CBC credit write up/01 Financial statement input/GULF/GULF_TH_2566/Cut version/"/>
    </mc:Choice>
  </mc:AlternateContent>
  <xr:revisionPtr revIDLastSave="0" documentId="8_{603F2B2F-56B1-431A-A4BE-CBCF465CE207}" xr6:coauthVersionLast="47" xr6:coauthVersionMax="47" xr10:uidLastSave="{00000000-0000-0000-0000-000000000000}"/>
  <bookViews>
    <workbookView xWindow="-216" yWindow="12852" windowWidth="23256" windowHeight="12456" tabRatio="804" xr2:uid="{66A07B68-445A-4021-85C3-7A837FFD837A}"/>
  </bookViews>
  <sheets>
    <sheet name="BS 6 - 8" sheetId="1" r:id="rId1"/>
    <sheet name="PL 9 - 10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__________DET2" hidden="1">{#N/A,#N/A,FALSE,"Doc. A";#N/A,#N/A,FALSE,"Doc. B";#N/A,#N/A,FALSE,"Doc. C";#N/A,#N/A,FALSE,"Doc. D";#N/A,#N/A,FALSE,"Doc. E";#N/A,#N/A,FALSE,"Doc. F";#N/A,#N/A,FALSE,"Doc. H";#N/A,#N/A,FALSE,"Doc. G";#N/A,#N/A,FALSE,"Doc. I";#N/A,#N/A,FALSE,"Doc. J";#N/A,#N/A,FALSE,"Stock"}</definedName>
    <definedName name="___________DET3" hidden="1">{#N/A,#N/A,FALSE,"Production-Ethy.";#N/A,#N/A,FALSE,"Production-Prop.";#N/A,#N/A,FALSE,"SaleVolume-Ethy.";#N/A,#N/A,FALSE,"SaleVolume-Prop.";#N/A,#N/A,FALSE,"SellPrice-Ethy.";#N/A,#N/A,FALSE,"SellPrice-Prop.";#N/A,#N/A,FALSE,"Naph&amp;Olef Rate";#N/A,#N/A,FALSE,"Stea&amp;Olef Rate";#N/A,#N/A,FALSE,"Elec&amp;Olef Rate"}</definedName>
    <definedName name="___________DET4" hidden="1">{#N/A,#N/A,FALSE,"BUDGET"}</definedName>
    <definedName name="_________DET2" hidden="1">{#N/A,#N/A,FALSE,"Doc. A";#N/A,#N/A,FALSE,"Doc. B";#N/A,#N/A,FALSE,"Doc. C";#N/A,#N/A,FALSE,"Doc. D";#N/A,#N/A,FALSE,"Doc. E";#N/A,#N/A,FALSE,"Doc. F";#N/A,#N/A,FALSE,"Doc. H";#N/A,#N/A,FALSE,"Doc. G";#N/A,#N/A,FALSE,"Doc. I";#N/A,#N/A,FALSE,"Doc. J";#N/A,#N/A,FALSE,"Stock"}</definedName>
    <definedName name="_________DET3" hidden="1">{#N/A,#N/A,FALSE,"Production-Ethy.";#N/A,#N/A,FALSE,"Production-Prop.";#N/A,#N/A,FALSE,"SaleVolume-Ethy.";#N/A,#N/A,FALSE,"SaleVolume-Prop.";#N/A,#N/A,FALSE,"SellPrice-Ethy.";#N/A,#N/A,FALSE,"SellPrice-Prop.";#N/A,#N/A,FALSE,"Naph&amp;Olef Rate";#N/A,#N/A,FALSE,"Stea&amp;Olef Rate";#N/A,#N/A,FALSE,"Elec&amp;Olef Rate"}</definedName>
    <definedName name="_________DET4" hidden="1">{#N/A,#N/A,FALSE,"BUDGET"}</definedName>
    <definedName name="_______a1" hidden="1">{"'Sheet1'!$L$16"}</definedName>
    <definedName name="_______DET2" hidden="1">{#N/A,#N/A,FALSE,"Doc. A";#N/A,#N/A,FALSE,"Doc. B";#N/A,#N/A,FALSE,"Doc. C";#N/A,#N/A,FALSE,"Doc. D";#N/A,#N/A,FALSE,"Doc. E";#N/A,#N/A,FALSE,"Doc. F";#N/A,#N/A,FALSE,"Doc. H";#N/A,#N/A,FALSE,"Doc. G";#N/A,#N/A,FALSE,"Doc. I";#N/A,#N/A,FALSE,"Doc. J";#N/A,#N/A,FALSE,"Stock"}</definedName>
    <definedName name="_______DET3" hidden="1">{#N/A,#N/A,FALSE,"Production-Ethy.";#N/A,#N/A,FALSE,"Production-Prop.";#N/A,#N/A,FALSE,"SaleVolume-Ethy.";#N/A,#N/A,FALSE,"SaleVolume-Prop.";#N/A,#N/A,FALSE,"SellPrice-Ethy.";#N/A,#N/A,FALSE,"SellPrice-Prop.";#N/A,#N/A,FALSE,"Naph&amp;Olef Rate";#N/A,#N/A,FALSE,"Stea&amp;Olef Rate";#N/A,#N/A,FALSE,"Elec&amp;Olef Rate"}</definedName>
    <definedName name="_______DET4" hidden="1">{#N/A,#N/A,FALSE,"BUDGET"}</definedName>
    <definedName name="_______PA3" hidden="1">{"'Sheet1'!$L$16"}</definedName>
    <definedName name="______a1" hidden="1">{"'Sheet1'!$L$16"}</definedName>
    <definedName name="______AP1" hidden="1">{#N/A,#N/A,FALSE,"Aging Summary";#N/A,#N/A,FALSE,"Ratio Analysis";#N/A,#N/A,FALSE,"Test 120 Day Accts";#N/A,#N/A,FALSE,"Tickmarks"}</definedName>
    <definedName name="______DET2" hidden="1">{#N/A,#N/A,FALSE,"Doc. A";#N/A,#N/A,FALSE,"Doc. B";#N/A,#N/A,FALSE,"Doc. C";#N/A,#N/A,FALSE,"Doc. D";#N/A,#N/A,FALSE,"Doc. E";#N/A,#N/A,FALSE,"Doc. F";#N/A,#N/A,FALSE,"Doc. H";#N/A,#N/A,FALSE,"Doc. G";#N/A,#N/A,FALSE,"Doc. I";#N/A,#N/A,FALSE,"Doc. J";#N/A,#N/A,FALSE,"Stock"}</definedName>
    <definedName name="______DET3" hidden="1">{#N/A,#N/A,FALSE,"Production-Ethy.";#N/A,#N/A,FALSE,"Production-Prop.";#N/A,#N/A,FALSE,"SaleVolume-Ethy.";#N/A,#N/A,FALSE,"SaleVolume-Prop.";#N/A,#N/A,FALSE,"SellPrice-Ethy.";#N/A,#N/A,FALSE,"SellPrice-Prop.";#N/A,#N/A,FALSE,"Naph&amp;Olef Rate";#N/A,#N/A,FALSE,"Stea&amp;Olef Rate";#N/A,#N/A,FALSE,"Elec&amp;Olef Rate"}</definedName>
    <definedName name="______DET4" hidden="1">{#N/A,#N/A,FALSE,"BUDGET"}</definedName>
    <definedName name="______NSO2" hidden="1">{"'Sheet1'!$L$16"}</definedName>
    <definedName name="_____a1" hidden="1">{"'Sheet1'!$L$16"}</definedName>
    <definedName name="_____A2" hidden="1">{"'Sheet1'!$L$16"}</definedName>
    <definedName name="_____AP1" hidden="1">{#N/A,#N/A,FALSE,"Aging Summary";#N/A,#N/A,FALSE,"Ratio Analysis";#N/A,#N/A,FALSE,"Test 120 Day Accts";#N/A,#N/A,FALSE,"Tickmarks"}</definedName>
    <definedName name="_____d1500" hidden="1">{"'Sheet1'!$L$16"}</definedName>
    <definedName name="_____DET2" hidden="1">{#N/A,#N/A,FALSE,"Doc. A";#N/A,#N/A,FALSE,"Doc. B";#N/A,#N/A,FALSE,"Doc. C";#N/A,#N/A,FALSE,"Doc. D";#N/A,#N/A,FALSE,"Doc. E";#N/A,#N/A,FALSE,"Doc. F";#N/A,#N/A,FALSE,"Doc. H";#N/A,#N/A,FALSE,"Doc. G";#N/A,#N/A,FALSE,"Doc. I";#N/A,#N/A,FALSE,"Doc. J";#N/A,#N/A,FALSE,"Stock"}</definedName>
    <definedName name="_____DET3" hidden="1">{#N/A,#N/A,FALSE,"Production-Ethy.";#N/A,#N/A,FALSE,"Production-Prop.";#N/A,#N/A,FALSE,"SaleVolume-Ethy.";#N/A,#N/A,FALSE,"SaleVolume-Prop.";#N/A,#N/A,FALSE,"SellPrice-Ethy.";#N/A,#N/A,FALSE,"SellPrice-Prop.";#N/A,#N/A,FALSE,"Naph&amp;Olef Rate";#N/A,#N/A,FALSE,"Stea&amp;Olef Rate";#N/A,#N/A,FALSE,"Elec&amp;Olef Rate"}</definedName>
    <definedName name="_____DET4" hidden="1">{#N/A,#N/A,FALSE,"BUDGET"}</definedName>
    <definedName name="_____h1" hidden="1">{"'Sheet1'!$L$16"}</definedName>
    <definedName name="_____M2" hidden="1">{"'Sheet1'!$L$16"}</definedName>
    <definedName name="_____PA3" hidden="1">{"'Sheet1'!$L$16"}</definedName>
    <definedName name="____a1" hidden="1">{"'Sheet1'!$L$16"}</definedName>
    <definedName name="____a1_1" hidden="1">{"'Sheet1'!$L$16"}</definedName>
    <definedName name="____a1_2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P1" hidden="1">{#N/A,#N/A,FALSE,"Aging Summary";#N/A,#N/A,FALSE,"Ratio Analysis";#N/A,#N/A,FALSE,"Test 120 Day Accts";#N/A,#N/A,FALSE,"Tickmarks"}</definedName>
    <definedName name="____d1500" hidden="1">{"'Sheet1'!$L$16"}</definedName>
    <definedName name="____d1500_1" hidden="1">{"'Sheet1'!$L$16"}</definedName>
    <definedName name="____d1500_2" hidden="1">{"'Sheet1'!$L$16"}</definedName>
    <definedName name="____f5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Lan1" hidden="1">{"'Sheet1'!$L$16"}</definedName>
    <definedName name="____M2" hidden="1">{"'Sheet1'!$L$16"}</definedName>
    <definedName name="____M2_1" hidden="1">{"'Sheet1'!$L$16"}</definedName>
    <definedName name="____M2_2" hidden="1">{"'Sheet1'!$L$16"}</definedName>
    <definedName name="____m4" hidden="1">{"'Sheet1'!$L$16"}</definedName>
    <definedName name="____NSO2" hidden="1">{"'Sheet1'!$L$16"}</definedName>
    <definedName name="____PA3" hidden="1">{"'Sheet1'!$L$16"}</definedName>
    <definedName name="____T01" hidden="1">#REF!</definedName>
    <definedName name="____tt3" hidden="1">{"'Sheet1'!$L$16"}</definedName>
    <definedName name="___a1" hidden="1">{"'Sheet1'!$L$16"}</definedName>
    <definedName name="___a10" hidden="1">{"'Sheet1'!$L$16"}</definedName>
    <definedName name="___a10_1" hidden="1">{"'Sheet1'!$L$16"}</definedName>
    <definedName name="___a10_2" hidden="1">{"'Sheet1'!$L$16"}</definedName>
    <definedName name="___a11" hidden="1">{"'Sheet1'!$L$16"}</definedName>
    <definedName name="___a11_1" hidden="1">{"'Sheet1'!$L$16"}</definedName>
    <definedName name="___a11_2" hidden="1">{"'Sheet1'!$L$16"}</definedName>
    <definedName name="___a12" hidden="1">{"'Sheet1'!$L$16"}</definedName>
    <definedName name="___a12_1" hidden="1">{"'Sheet1'!$L$16"}</definedName>
    <definedName name="___a12_2" hidden="1">{"'Sheet1'!$L$16"}</definedName>
    <definedName name="___A2" hidden="1">{"'Sheet1'!$L$16"}</definedName>
    <definedName name="___a2_1" hidden="1">{"'Sheet1'!$L$16"}</definedName>
    <definedName name="___a2_2" hidden="1">{"'Sheet1'!$L$16"}</definedName>
    <definedName name="___a3" hidden="1">{"'Sheet1'!$L$16"}</definedName>
    <definedName name="___a3_1" hidden="1">{"'Sheet1'!$L$16"}</definedName>
    <definedName name="___a3_2" hidden="1">{"'Sheet1'!$L$16"}</definedName>
    <definedName name="___a4" hidden="1">{"'Sheet1'!$L$16"}</definedName>
    <definedName name="___a4_1" hidden="1">{"'Sheet1'!$L$16"}</definedName>
    <definedName name="___a4_2" hidden="1">{"'Sheet1'!$L$16"}</definedName>
    <definedName name="___a5" hidden="1">{"'Sheet1'!$L$16"}</definedName>
    <definedName name="___a5_1" hidden="1">{"'Sheet1'!$L$16"}</definedName>
    <definedName name="___a5_2" hidden="1">{"'Sheet1'!$L$16"}</definedName>
    <definedName name="___a7" hidden="1">{"'Sheet1'!$L$16"}</definedName>
    <definedName name="___a7_1" hidden="1">{"'Sheet1'!$L$16"}</definedName>
    <definedName name="___a7_2" hidden="1">{"'Sheet1'!$L$16"}</definedName>
    <definedName name="___a8" hidden="1">{"'Sheet1'!$L$16"}</definedName>
    <definedName name="___a8_1" hidden="1">{"'Sheet1'!$L$16"}</definedName>
    <definedName name="___a8_2" hidden="1">{"'Sheet1'!$L$16"}</definedName>
    <definedName name="___a9" hidden="1">{"'Sheet1'!$L$16"}</definedName>
    <definedName name="___a9_1" hidden="1">{"'Sheet1'!$L$16"}</definedName>
    <definedName name="___a9_2" hidden="1">{"'Sheet1'!$L$16"}</definedName>
    <definedName name="___d1500" hidden="1">{"'Sheet1'!$L$16"}</definedName>
    <definedName name="___DET2" hidden="1">{#N/A,#N/A,FALSE,"Doc. A";#N/A,#N/A,FALSE,"Doc. B";#N/A,#N/A,FALSE,"Doc. C";#N/A,#N/A,FALSE,"Doc. D";#N/A,#N/A,FALSE,"Doc. E";#N/A,#N/A,FALSE,"Doc. F";#N/A,#N/A,FALSE,"Doc. H";#N/A,#N/A,FALSE,"Doc. G";#N/A,#N/A,FALSE,"Doc. I";#N/A,#N/A,FALSE,"Doc. J";#N/A,#N/A,FALSE,"Stock"}</definedName>
    <definedName name="___DET3" hidden="1">{#N/A,#N/A,FALSE,"Production-Ethy.";#N/A,#N/A,FALSE,"Production-Prop.";#N/A,#N/A,FALSE,"SaleVolume-Ethy.";#N/A,#N/A,FALSE,"SaleVolume-Prop.";#N/A,#N/A,FALSE,"SellPrice-Ethy.";#N/A,#N/A,FALSE,"SellPrice-Prop.";#N/A,#N/A,FALSE,"Naph&amp;Olef Rate";#N/A,#N/A,FALSE,"Stea&amp;Olef Rate";#N/A,#N/A,FALSE,"Elec&amp;Olef Rate"}</definedName>
    <definedName name="___DET4" hidden="1">{#N/A,#N/A,FALSE,"BUDGET"}</definedName>
    <definedName name="___F1" hidden="1">{"'Sheet1'!$L$16"}</definedName>
    <definedName name="___f5" hidden="1">{"'Sheet1'!$L$16"}</definedName>
    <definedName name="___f5_1" hidden="1">{"'Sheet1'!$L$16"}</definedName>
    <definedName name="___f5_2" hidden="1">{"'Sheet1'!$L$16"}</definedName>
    <definedName name="___h1" hidden="1">{"'TDTGT (theo Dphuong)'!$A$4:$F$75"}</definedName>
    <definedName name="___M2" hidden="1">{"'Sheet1'!$L$16"}</definedName>
    <definedName name="___NSO2" hidden="1">{"'Sheet1'!$L$16"}</definedName>
    <definedName name="___PA3" hidden="1">{"'Sheet1'!$L$16"}</definedName>
    <definedName name="___T01" hidden="1">#REF!</definedName>
    <definedName name="__123Graph_A1" hidden="1">'[1]CRUDE-D'!#REF!</definedName>
    <definedName name="__123Graph_ABRENT" hidden="1">'[1]CRUDE-D'!#REF!</definedName>
    <definedName name="__123Graph_ACR" hidden="1">'[1]CRUDE-D'!#REF!</definedName>
    <definedName name="__123Graph_ACR2" hidden="1">'[1]CRUDE-D'!#REF!</definedName>
    <definedName name="__123Graph_ACR20" hidden="1">'[1]CRUDE-D'!#REF!</definedName>
    <definedName name="__123Graph_ACR3" hidden="1">'[1]CRUDE-D'!#REF!</definedName>
    <definedName name="__123Graph_ACR4" hidden="1">'[1]CRUDE-D'!#REF!</definedName>
    <definedName name="__123Graph_ACR5" hidden="1">'[1]CRUDE-D'!#REF!</definedName>
    <definedName name="__123Graph_ACRU" hidden="1">'[1]CRUDE-D'!#REF!</definedName>
    <definedName name="__123Graph_ACRU4" hidden="1">'[1]CRUDE-D'!#REF!</definedName>
    <definedName name="__123Graph_ADIBAI" hidden="1">'[1]CRUDE-D'!#REF!</definedName>
    <definedName name="__123Graph_ADUBAI" hidden="1">'[1]CRUDE-D'!#REF!</definedName>
    <definedName name="__123Graph_AF1" hidden="1">[1]POSTF1!#REF!</definedName>
    <definedName name="__123Graph_AF2" hidden="1">[1]POSTF1!#REF!</definedName>
    <definedName name="__123Graph_AF3" hidden="1">[1]POSTF1!#REF!</definedName>
    <definedName name="__123Graph_AF4" hidden="1">[1]POSTF1!#REF!</definedName>
    <definedName name="__123Graph_AFO" hidden="1">'[1]S''PORE-D'!#REF!</definedName>
    <definedName name="__123Graph_AFO180" hidden="1">'[1]S''PORE-D'!#REF!</definedName>
    <definedName name="__123Graph_AFOLS" hidden="1">'[1]S''PORE-D'!#REF!</definedName>
    <definedName name="__123Graph_AHD1" hidden="1">[1]POSTHD1!#REF!</definedName>
    <definedName name="__123Graph_AHD2" hidden="1">[1]POSTHD1!#REF!</definedName>
    <definedName name="__123Graph_AHD3" hidden="1">[1]POSTHD1!#REF!</definedName>
    <definedName name="__123Graph_AHD4" hidden="1">[1]POSTHD1!#REF!</definedName>
    <definedName name="__123Graph_AHD5" hidden="1">[1]POSTHD1!#REF!</definedName>
    <definedName name="__123Graph_AHSD" hidden="1">'[1]S''PORE-D'!#REF!</definedName>
    <definedName name="__123Graph_AJA" hidden="1">'[1]CRUDE-D'!#REF!</definedName>
    <definedName name="__123Graph_AJA2" hidden="1">'[1]S''PORE-D'!#REF!</definedName>
    <definedName name="__123Graph_ALPG1" hidden="1">[1]POSTLPG!#REF!</definedName>
    <definedName name="__123Graph_ALPG2" hidden="1">[1]POSTLPG!#REF!</definedName>
    <definedName name="__123Graph_ALPG3" hidden="1">[1]POSTLPG!#REF!</definedName>
    <definedName name="__123Graph_ALPG4" hidden="1">[1]POSTLPG!#REF!</definedName>
    <definedName name="__123Graph_ALPG5" hidden="1">[1]POSTLPG!#REF!</definedName>
    <definedName name="__123Graph_AOM" hidden="1">'[1]CRUDE-D'!#REF!</definedName>
    <definedName name="__123Graph_AOMAN" hidden="1">'[1]CRUDE-D'!#REF!</definedName>
    <definedName name="__123Graph_AP20" hidden="1">'[1]S''PORE-D'!#REF!</definedName>
    <definedName name="__123Graph_APICCR" hidden="1">'[1]CRUDE-D'!#REF!</definedName>
    <definedName name="__123Graph_APICPRO" hidden="1">'[1]S''PORE-D'!#REF!</definedName>
    <definedName name="__123Graph_APICULG" hidden="1">'[1]PO97(02)'!#REF!</definedName>
    <definedName name="__123Graph_APOSTF" hidden="1">[1]POSTF1!#REF!</definedName>
    <definedName name="__123Graph_APOSTHD" hidden="1">[1]POSTHD1!#REF!</definedName>
    <definedName name="__123Graph_APOSTLPG" hidden="1">[1]POSTLPG!#REF!</definedName>
    <definedName name="__123Graph_APOSTULG" hidden="1">'[1]PO97(02)'!#REF!</definedName>
    <definedName name="__123Graph_APRO" hidden="1">'[1]S''PORE-D'!#REF!</definedName>
    <definedName name="__123Graph_APRO93" hidden="1">'[1]S''PORE-D'!#REF!</definedName>
    <definedName name="__123Graph_ASA" hidden="1">'[1]CRUDE-D'!#REF!</definedName>
    <definedName name="__123Graph_ASP1" hidden="1">'[1]S''PORE-D'!#REF!</definedName>
    <definedName name="__123Graph_ATEM1" hidden="1">'[1]CRUDE-D'!#REF!</definedName>
    <definedName name="__123Graph_ATEMP" hidden="1">'[1]CRUDE-D'!#REF!</definedName>
    <definedName name="__123Graph_ATUK" hidden="1">'[1]CRUDE-D'!#REF!</definedName>
    <definedName name="__123Graph_AULG1" hidden="1">'[1]PO97(02)'!#REF!</definedName>
    <definedName name="__123Graph_AULG2" hidden="1">'[1]PO97(02)'!#REF!</definedName>
    <definedName name="__123Graph_AULG3" hidden="1">'[1]PO97(02)'!#REF!</definedName>
    <definedName name="__123Graph_AULG4" hidden="1">'[1]PO97(02)'!#REF!</definedName>
    <definedName name="__123Graph_AULG5" hidden="1">'[1]PO97(02)'!#REF!</definedName>
    <definedName name="__123Graph_AULG92" hidden="1">'[1]S''PORE-D'!#REF!</definedName>
    <definedName name="__123Graph_AULG95" hidden="1">'[1]S''PORE-D'!#REF!</definedName>
    <definedName name="__123Graph_AULG97" hidden="1">'[1]S''PORE-D'!#REF!</definedName>
    <definedName name="__123Graph_B1" hidden="1">'[1]CRUDE-D'!#REF!</definedName>
    <definedName name="__123Graph_BBRENT" hidden="1">'[1]CRUDE-D'!#REF!</definedName>
    <definedName name="__123Graph_BCR" hidden="1">'[1]CRUDE-D'!#REF!</definedName>
    <definedName name="__123Graph_BCR2" hidden="1">'[1]CRUDE-D'!#REF!</definedName>
    <definedName name="__123Graph_BCR20" hidden="1">'[1]CRUDE-D'!#REF!</definedName>
    <definedName name="__123Graph_BCR3" hidden="1">'[1]CRUDE-D'!#REF!</definedName>
    <definedName name="__123Graph_BCR4" hidden="1">'[1]CRUDE-D'!#REF!</definedName>
    <definedName name="__123Graph_BCR5" hidden="1">'[1]CRUDE-D'!#REF!</definedName>
    <definedName name="__123Graph_BCRU" hidden="1">'[1]CRUDE-D'!#REF!</definedName>
    <definedName name="__123Graph_BCRU4" hidden="1">'[1]CRUDE-D'!#REF!</definedName>
    <definedName name="__123Graph_BF1" hidden="1">[1]POSTF1!#REF!</definedName>
    <definedName name="__123Graph_BF2" hidden="1">[1]POSTF1!#REF!</definedName>
    <definedName name="__123Graph_BF3" hidden="1">[1]POSTF1!#REF!</definedName>
    <definedName name="__123Graph_BF4" hidden="1">[1]POSTF1!#REF!</definedName>
    <definedName name="__123Graph_BFO" hidden="1">'[1]S''PORE-D'!#REF!</definedName>
    <definedName name="__123Graph_BFOLS" hidden="1">'[1]S''PORE-D'!#REF!</definedName>
    <definedName name="__123Graph_BHD1" hidden="1">[1]POSTHD1!#REF!</definedName>
    <definedName name="__123Graph_BHD2" hidden="1">[1]POSTHD1!#REF!</definedName>
    <definedName name="__123Graph_BHD3" hidden="1">[1]POSTHD1!#REF!</definedName>
    <definedName name="__123Graph_BHD4" hidden="1">[1]POSTHD1!#REF!</definedName>
    <definedName name="__123Graph_BHD5" hidden="1">[1]POSTHD1!#REF!</definedName>
    <definedName name="__123Graph_BJA" hidden="1">'[1]CRUDE-D'!#REF!</definedName>
    <definedName name="__123Graph_BJA2" hidden="1">'[1]S''PORE-D'!#REF!</definedName>
    <definedName name="__123Graph_BLPG1" hidden="1">[1]POSTLPG!#REF!</definedName>
    <definedName name="__123Graph_BLPG2" hidden="1">[1]POSTLPG!#REF!</definedName>
    <definedName name="__123Graph_BLPG3" hidden="1">[1]POSTLPG!#REF!</definedName>
    <definedName name="__123Graph_BLPG4" hidden="1">[1]POSTLPG!#REF!</definedName>
    <definedName name="__123Graph_BLPG5" hidden="1">[1]POSTLPG!#REF!</definedName>
    <definedName name="__123Graph_BP20" hidden="1">'[1]S''PORE-D'!#REF!</definedName>
    <definedName name="__123Graph_BPICCR" hidden="1">'[1]CRUDE-D'!#REF!</definedName>
    <definedName name="__123Graph_BPICPRO" hidden="1">'[1]S''PORE-D'!#REF!</definedName>
    <definedName name="__123Graph_BPICULG" hidden="1">'[1]PO97(02)'!#REF!</definedName>
    <definedName name="__123Graph_BPOSTF" hidden="1">[1]POSTF1!#REF!</definedName>
    <definedName name="__123Graph_BPOSTHD" hidden="1">[1]POSTHD1!#REF!</definedName>
    <definedName name="__123Graph_BPOSTLPG" hidden="1">[1]POSTLPG!#REF!</definedName>
    <definedName name="__123Graph_BPOSTULG" hidden="1">'[1]PO97(02)'!#REF!</definedName>
    <definedName name="__123Graph_BPRO" hidden="1">'[1]S''PORE-D'!#REF!</definedName>
    <definedName name="__123Graph_BPRO93" hidden="1">'[1]S''PORE-D'!#REF!</definedName>
    <definedName name="__123Graph_BSA" hidden="1">'[1]CRUDE-D'!#REF!</definedName>
    <definedName name="__123Graph_BSP1" hidden="1">'[1]S''PORE-D'!#REF!</definedName>
    <definedName name="__123Graph_BTUK" hidden="1">'[1]CRUDE-D'!#REF!</definedName>
    <definedName name="__123Graph_BULG1" hidden="1">'[1]PO97(02)'!#REF!</definedName>
    <definedName name="__123Graph_BULG2" hidden="1">'[1]PO97(02)'!#REF!</definedName>
    <definedName name="__123Graph_BULG3" hidden="1">'[1]PO97(02)'!#REF!</definedName>
    <definedName name="__123Graph_BULG4" hidden="1">'[1]PO97(02)'!#REF!</definedName>
    <definedName name="__123Graph_BULG5" hidden="1">'[1]PO97(02)'!#REF!</definedName>
    <definedName name="__123Graph_C1" hidden="1">'[1]CRUDE-D'!#REF!</definedName>
    <definedName name="__123Graph_CBRENT" hidden="1">'[1]CRUDE-D'!#REF!</definedName>
    <definedName name="__123Graph_CCR" hidden="1">'[1]CRUDE-D'!#REF!</definedName>
    <definedName name="__123Graph_CCR2" hidden="1">'[1]CRUDE-D'!#REF!</definedName>
    <definedName name="__123Graph_CCR20" hidden="1">'[1]CRUDE-D'!#REF!</definedName>
    <definedName name="__123Graph_CCR3" hidden="1">'[1]CRUDE-D'!#REF!</definedName>
    <definedName name="__123Graph_CCR4" hidden="1">'[1]CRUDE-D'!#REF!</definedName>
    <definedName name="__123Graph_CCR5" hidden="1">'[1]CRUDE-D'!#REF!</definedName>
    <definedName name="__123Graph_CCRU" hidden="1">'[1]CRUDE-D'!#REF!</definedName>
    <definedName name="__123Graph_CCRU4" hidden="1">'[1]CRUDE-D'!#REF!</definedName>
    <definedName name="__123Graph_CF1" hidden="1">[1]POSTF1!#REF!</definedName>
    <definedName name="__123Graph_CF2" hidden="1">[1]POSTF1!#REF!</definedName>
    <definedName name="__123Graph_CF3" hidden="1">[1]POSTF1!#REF!</definedName>
    <definedName name="__123Graph_CF4" hidden="1">[1]POSTF1!#REF!</definedName>
    <definedName name="__123Graph_CFO" hidden="1">'[1]S''PORE-D'!#REF!</definedName>
    <definedName name="__123Graph_CFOLS" hidden="1">'[1]S''PORE-D'!#REF!</definedName>
    <definedName name="__123Graph_CHD1" hidden="1">[1]POSTHD1!#REF!</definedName>
    <definedName name="__123Graph_CHD2" hidden="1">[1]POSTHD1!#REF!</definedName>
    <definedName name="__123Graph_CHD3" hidden="1">[1]POSTHD1!#REF!</definedName>
    <definedName name="__123Graph_CHD4" hidden="1">[1]POSTHD1!#REF!</definedName>
    <definedName name="__123Graph_CHD5" hidden="1">[1]POSTHD1!#REF!</definedName>
    <definedName name="__123Graph_CJA" hidden="1">'[1]CRUDE-D'!#REF!</definedName>
    <definedName name="__123Graph_CJA2" hidden="1">'[1]S''PORE-D'!#REF!</definedName>
    <definedName name="__123Graph_CLPG1" hidden="1">[1]POSTLPG!#REF!</definedName>
    <definedName name="__123Graph_CLPG2" hidden="1">[1]POSTLPG!#REF!</definedName>
    <definedName name="__123Graph_CLPG3" hidden="1">[1]POSTLPG!#REF!</definedName>
    <definedName name="__123Graph_CLPG4" hidden="1">[1]POSTLPG!#REF!</definedName>
    <definedName name="__123Graph_CLPG5" hidden="1">[1]POSTLPG!#REF!</definedName>
    <definedName name="__123Graph_CP20" hidden="1">'[1]S''PORE-D'!#REF!</definedName>
    <definedName name="__123Graph_CPICCR" hidden="1">'[1]CRUDE-D'!#REF!</definedName>
    <definedName name="__123Graph_CPICPRO" hidden="1">'[1]S''PORE-D'!#REF!</definedName>
    <definedName name="__123Graph_CPICULG" hidden="1">'[1]PO97(02)'!#REF!</definedName>
    <definedName name="__123Graph_CPOSTF" hidden="1">[1]POSTF1!#REF!</definedName>
    <definedName name="__123Graph_CPOSTHD" hidden="1">[1]POSTHD1!#REF!</definedName>
    <definedName name="__123Graph_CPOSTLPG" hidden="1">[1]POSTLPG!#REF!</definedName>
    <definedName name="__123Graph_CPOSTULG" hidden="1">'[1]PO97(02)'!#REF!</definedName>
    <definedName name="__123Graph_CPRO" hidden="1">'[1]S''PORE-D'!#REF!</definedName>
    <definedName name="__123Graph_CPRO93" hidden="1">'[1]S''PORE-D'!#REF!</definedName>
    <definedName name="__123Graph_CSA" hidden="1">'[1]CRUDE-D'!#REF!</definedName>
    <definedName name="__123Graph_CSP1" hidden="1">'[1]S''PORE-D'!#REF!</definedName>
    <definedName name="__123Graph_CTEM1" hidden="1">'[1]CRUDE-D'!#REF!</definedName>
    <definedName name="__123Graph_CTEMP" hidden="1">'[1]CRUDE-D'!#REF!</definedName>
    <definedName name="__123Graph_CTUK" hidden="1">'[1]CRUDE-D'!#REF!</definedName>
    <definedName name="__123Graph_CULG1" hidden="1">'[1]PO97(02)'!#REF!</definedName>
    <definedName name="__123Graph_CULG2" hidden="1">'[1]PO97(02)'!#REF!</definedName>
    <definedName name="__123Graph_CULG3" hidden="1">'[1]PO97(02)'!#REF!</definedName>
    <definedName name="__123Graph_CULG4" hidden="1">'[1]PO97(02)'!#REF!</definedName>
    <definedName name="__123Graph_CULG5" hidden="1">'[1]PO97(02)'!#REF!</definedName>
    <definedName name="__123Graph_D1" hidden="1">'[1]CRUDE-D'!#REF!</definedName>
    <definedName name="__123Graph_DBRENT" hidden="1">'[1]CRUDE-D'!#REF!</definedName>
    <definedName name="__123Graph_DCR" hidden="1">'[1]CRUDE-D'!#REF!</definedName>
    <definedName name="__123Graph_DCR2" hidden="1">'[1]CRUDE-D'!#REF!</definedName>
    <definedName name="__123Graph_DCR20" hidden="1">'[1]CRUDE-D'!#REF!</definedName>
    <definedName name="__123Graph_DCR3" hidden="1">'[1]CRUDE-D'!#REF!</definedName>
    <definedName name="__123Graph_DCR4" hidden="1">'[1]CRUDE-D'!#REF!</definedName>
    <definedName name="__123Graph_DCR5" hidden="1">'[1]CRUDE-D'!#REF!</definedName>
    <definedName name="__123Graph_DCRU" hidden="1">'[1]CRUDE-D'!#REF!</definedName>
    <definedName name="__123Graph_DCRU4" hidden="1">'[1]CRUDE-D'!#REF!</definedName>
    <definedName name="__123Graph_DF1" hidden="1">[1]POSTF1!#REF!</definedName>
    <definedName name="__123Graph_DF2" hidden="1">[1]POSTF1!#REF!</definedName>
    <definedName name="__123Graph_DF3" hidden="1">[1]POSTF1!#REF!</definedName>
    <definedName name="__123Graph_DF4" hidden="1">[1]POSTF1!#REF!</definedName>
    <definedName name="__123Graph_DFO" hidden="1">'[1]S''PORE-D'!#REF!</definedName>
    <definedName name="__123Graph_DHD2" hidden="1">[1]POSTHD1!#REF!</definedName>
    <definedName name="__123Graph_DHD3" hidden="1">[1]POSTHD1!#REF!</definedName>
    <definedName name="__123Graph_DHD4" hidden="1">[1]POSTHD1!#REF!</definedName>
    <definedName name="__123Graph_DHD5" hidden="1">[1]POSTHD1!#REF!</definedName>
    <definedName name="__123Graph_DJA" hidden="1">'[1]CRUDE-D'!#REF!</definedName>
    <definedName name="__123Graph_DJA2" hidden="1">'[1]S''PORE-D'!#REF!</definedName>
    <definedName name="__123Graph_DLPG1" hidden="1">[1]POSTLPG!#REF!</definedName>
    <definedName name="__123Graph_DLPG2" hidden="1">[1]POSTLPG!#REF!</definedName>
    <definedName name="__123Graph_DLPG3" hidden="1">[1]POSTLPG!#REF!</definedName>
    <definedName name="__123Graph_DLPG4" hidden="1">[1]POSTLPG!#REF!</definedName>
    <definedName name="__123Graph_DLPG5" hidden="1">[1]POSTLPG!#REF!</definedName>
    <definedName name="__123Graph_DP20" hidden="1">'[1]S''PORE-D'!#REF!</definedName>
    <definedName name="__123Graph_DPICCR" hidden="1">'[1]CRUDE-D'!#REF!</definedName>
    <definedName name="__123Graph_DPICPRO" hidden="1">'[1]S''PORE-D'!#REF!</definedName>
    <definedName name="__123Graph_DPICULG" hidden="1">'[1]PO97(02)'!#REF!</definedName>
    <definedName name="__123Graph_DPOSTF" hidden="1">[1]POSTF1!#REF!</definedName>
    <definedName name="__123Graph_DPOSTHD" hidden="1">[1]POSTHD1!#REF!</definedName>
    <definedName name="__123Graph_DPOSTLPG" hidden="1">[1]POSTLPG!#REF!</definedName>
    <definedName name="__123Graph_DPOSTULG" hidden="1">'[1]PO97(02)'!#REF!</definedName>
    <definedName name="__123Graph_DPRO" hidden="1">'[1]S''PORE-D'!#REF!</definedName>
    <definedName name="__123Graph_DPRO93" hidden="1">'[1]S''PORE-D'!#REF!</definedName>
    <definedName name="__123Graph_DSA" hidden="1">'[1]CRUDE-D'!#REF!</definedName>
    <definedName name="__123Graph_DSP1" hidden="1">'[1]S''PORE-D'!#REF!</definedName>
    <definedName name="__123Graph_DTUK" hidden="1">'[1]CRUDE-D'!#REF!</definedName>
    <definedName name="__123Graph_DULG1" hidden="1">'[1]PO97(02)'!#REF!</definedName>
    <definedName name="__123Graph_DULG2" hidden="1">'[1]PO97(02)'!#REF!</definedName>
    <definedName name="__123Graph_DULG3" hidden="1">'[1]PO97(02)'!#REF!</definedName>
    <definedName name="__123Graph_DULG4" hidden="1">'[1]PO97(02)'!#REF!</definedName>
    <definedName name="__123Graph_DULG5" hidden="1">'[1]PO97(02)'!#REF!</definedName>
    <definedName name="__123Graph_E1" hidden="1">'[1]CRUDE-D'!#REF!</definedName>
    <definedName name="__123Graph_EBRENT" hidden="1">'[1]CRUDE-D'!#REF!</definedName>
    <definedName name="__123Graph_ECR" hidden="1">'[1]CRUDE-D'!#REF!</definedName>
    <definedName name="__123Graph_ECR2" hidden="1">'[1]CRUDE-D'!#REF!</definedName>
    <definedName name="__123Graph_ECR20" hidden="1">'[1]CRUDE-D'!#REF!</definedName>
    <definedName name="__123Graph_ECR3" hidden="1">'[1]CRUDE-D'!#REF!</definedName>
    <definedName name="__123Graph_ECR4" hidden="1">'[1]CRUDE-D'!#REF!</definedName>
    <definedName name="__123Graph_ECR5" hidden="1">'[1]CRUDE-D'!#REF!</definedName>
    <definedName name="__123Graph_ECRU" hidden="1">'[1]CRUDE-D'!#REF!</definedName>
    <definedName name="__123Graph_ECRU4" hidden="1">'[1]CRUDE-D'!#REF!</definedName>
    <definedName name="__123Graph_EHD1" hidden="1">[1]POSTHD1!#REF!</definedName>
    <definedName name="__123Graph_EJA" hidden="1">'[1]CRUDE-D'!#REF!</definedName>
    <definedName name="__123Graph_EPICCR" hidden="1">'[1]CRUDE-D'!#REF!</definedName>
    <definedName name="__123Graph_ESA" hidden="1">'[1]CRUDE-D'!#REF!</definedName>
    <definedName name="__123Graph_ETUK" hidden="1">'[1]CRUDE-D'!#REF!</definedName>
    <definedName name="__123Graph_X1" hidden="1">'[1]CRUDE-D'!#REF!</definedName>
    <definedName name="__123Graph_XCR" hidden="1">'[1]CRUDE-D'!#REF!</definedName>
    <definedName name="__123Graph_XF1" hidden="1">[1]POSTF1!#REF!</definedName>
    <definedName name="__123Graph_XF2" hidden="1">[1]POSTF1!#REF!</definedName>
    <definedName name="__123Graph_XF3" hidden="1">[1]POSTF1!#REF!</definedName>
    <definedName name="__123Graph_XF4" hidden="1">[1]POSTF1!#REF!</definedName>
    <definedName name="__123Graph_XFO" hidden="1">'[1]S''PORE-D'!#REF!</definedName>
    <definedName name="__123Graph_XFO180" hidden="1">'[1]S''PORE-D'!#REF!</definedName>
    <definedName name="__123Graph_XFOLS" hidden="1">'[1]S''PORE-D'!#REF!</definedName>
    <definedName name="__123Graph_XHD1" hidden="1">[1]POSTHD1!#REF!</definedName>
    <definedName name="__123Graph_XHD2" hidden="1">[1]POSTHD1!#REF!</definedName>
    <definedName name="__123Graph_XHD3" hidden="1">[1]POSTHD1!#REF!</definedName>
    <definedName name="__123Graph_XHD4" hidden="1">[1]POSTHD1!#REF!</definedName>
    <definedName name="__123Graph_XHD5" hidden="1">[1]POSTHD1!#REF!</definedName>
    <definedName name="__123Graph_XHSD" hidden="1">'[1]S''PORE-D'!#REF!</definedName>
    <definedName name="__123Graph_XJA2" hidden="1">'[1]S''PORE-D'!#REF!</definedName>
    <definedName name="__123Graph_XLPG1" hidden="1">[1]POSTLPG!#REF!</definedName>
    <definedName name="__123Graph_XLPG2" hidden="1">[1]POSTLPG!#REF!</definedName>
    <definedName name="__123Graph_XLPG3" hidden="1">[1]POSTLPG!#REF!</definedName>
    <definedName name="__123Graph_XLPG4" hidden="1">[1]POSTLPG!#REF!</definedName>
    <definedName name="__123Graph_XLPG5" hidden="1">[1]POSTLPG!#REF!</definedName>
    <definedName name="__123Graph_XP20" hidden="1">'[1]S''PORE-D'!#REF!</definedName>
    <definedName name="__123Graph_XPICPRO" hidden="1">'[1]S''PORE-D'!#REF!</definedName>
    <definedName name="__123Graph_XPICULG" hidden="1">'[1]PO97(02)'!#REF!</definedName>
    <definedName name="__123Graph_XPOSTF" hidden="1">[1]POSTF1!#REF!</definedName>
    <definedName name="__123Graph_XPOSTHD" hidden="1">[1]POSTHD1!#REF!</definedName>
    <definedName name="__123Graph_XPOSTLPG" hidden="1">[1]POSTLPG!#REF!</definedName>
    <definedName name="__123Graph_XPOSTULG" hidden="1">'[1]PO97(02)'!#REF!</definedName>
    <definedName name="__123Graph_XPRO" hidden="1">'[1]S''PORE-D'!#REF!</definedName>
    <definedName name="__123Graph_XPRO93" hidden="1">'[1]S''PORE-D'!#REF!</definedName>
    <definedName name="__123Graph_XSP1" hidden="1">'[1]S''PORE-D'!#REF!</definedName>
    <definedName name="__123Graph_XTEM1" hidden="1">'[1]CRUDE-D'!#REF!</definedName>
    <definedName name="__123Graph_XULG1" hidden="1">'[1]PO97(02)'!#REF!</definedName>
    <definedName name="__123Graph_XULG2" hidden="1">'[1]PO97(02)'!#REF!</definedName>
    <definedName name="__123Graph_XULG3" hidden="1">'[1]PO97(02)'!#REF!</definedName>
    <definedName name="__123Graph_XULG4" hidden="1">'[1]PO97(02)'!#REF!</definedName>
    <definedName name="__123Graph_XULG5" hidden="1">'[1]PO97(02)'!#REF!</definedName>
    <definedName name="__123Graph_XULG92" hidden="1">'[1]S''PORE-D'!#REF!</definedName>
    <definedName name="__123Graph_XULG95" hidden="1">'[1]S''PORE-D'!#REF!</definedName>
    <definedName name="__123Graph_XULG97" hidden="1">'[1]S''PORE-D'!#REF!</definedName>
    <definedName name="__a1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P1" hidden="1">{#N/A,#N/A,FALSE,"Aging Summary";#N/A,#N/A,FALSE,"Ratio Analysis";#N/A,#N/A,FALSE,"Test 120 Day Accts";#N/A,#N/A,FALSE,"Tickmarks"}</definedName>
    <definedName name="__d1500" hidden="1">{"'Sheet1'!$L$16"}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ET2" hidden="1">{#N/A,#N/A,FALSE,"Doc. A";#N/A,#N/A,FALSE,"Doc. B";#N/A,#N/A,FALSE,"Doc. C";#N/A,#N/A,FALSE,"Doc. D";#N/A,#N/A,FALSE,"Doc. E";#N/A,#N/A,FALSE,"Doc. F";#N/A,#N/A,FALSE,"Doc. H";#N/A,#N/A,FALSE,"Doc. G";#N/A,#N/A,FALSE,"Doc. I";#N/A,#N/A,FALSE,"Doc. J";#N/A,#N/A,FALSE,"Stock"}</definedName>
    <definedName name="__DET3" hidden="1">{#N/A,#N/A,FALSE,"Production-Ethy.";#N/A,#N/A,FALSE,"Production-Prop.";#N/A,#N/A,FALSE,"SaleVolume-Ethy.";#N/A,#N/A,FALSE,"SaleVolume-Prop.";#N/A,#N/A,FALSE,"SellPrice-Ethy.";#N/A,#N/A,FALSE,"SellPrice-Prop.";#N/A,#N/A,FALSE,"Naph&amp;Olef Rate";#N/A,#N/A,FALSE,"Stea&amp;Olef Rate";#N/A,#N/A,FALSE,"Elec&amp;Olef Rate"}</definedName>
    <definedName name="__DET4" hidden="1">{#N/A,#N/A,FALSE,"BUDGET"}</definedName>
    <definedName name="__F1" hidden="1">{"'Sheet1'!$L$16"}</definedName>
    <definedName name="__f5" hidden="1">{"'Sheet1'!$L$16"}</definedName>
    <definedName name="__FDS_HYPERLINK_TOGGLE_STATE__" hidden="1">"ON"</definedName>
    <definedName name="__h1" hidden="1">{"'TDTGT (theo Dphuong)'!$A$4:$F$75"}</definedName>
    <definedName name="__hu1" hidden="1">{"'Sheet1'!$L$16"}</definedName>
    <definedName name="__hu2" hidden="1">{"'Sheet1'!$L$16"}</definedName>
    <definedName name="__hu5" hidden="1">{"'Sheet1'!$L$16"}</definedName>
    <definedName name="__hu6" hidden="1">{"'Sheet1'!$L$16"}</definedName>
    <definedName name="__IntlFixup" hidden="1">TRUE</definedName>
    <definedName name="__IntlFixupTable" hidden="1">#REF!</definedName>
    <definedName name="__k1" hidden="1">{#N/A,#N/A,FALSE,"Chi tiÆt"}</definedName>
    <definedName name="__Lan1" hidden="1">{"'Sheet1'!$L$16"}</definedName>
    <definedName name="__M10" hidden="1">{"'Sheet1'!$L$16"}</definedName>
    <definedName name="__M2" hidden="1">{"'Sheet1'!$L$16"}</definedName>
    <definedName name="__m3" hidden="1">{"'Sheet1'!$L$16"}</definedName>
    <definedName name="__m4" hidden="1">{"'Sheet1'!$L$16"}</definedName>
    <definedName name="__NSO2" hidden="1">{"'Sheet1'!$L$16"}</definedName>
    <definedName name="__PA3" hidden="1">{"'Sheet1'!$L$16"}</definedName>
    <definedName name="__T01" hidden="1">#REF!</definedName>
    <definedName name="__TK211" hidden="1">{"'Sheet1'!$L$16"}</definedName>
    <definedName name="__tt3" hidden="1">{"'Sheet1'!$L$16"}</definedName>
    <definedName name="__xlcn.WorksheetConnection_DATA2014_DLA16AK1261" hidden="1">#REF!</definedName>
    <definedName name="__xlfn.BAHTTEXT" hidden="1">#NAME?</definedName>
    <definedName name="_10__123Graph_CCHART_1" hidden="1">[2]TP!#REF!</definedName>
    <definedName name="_12__123Graph_XCHART_1" hidden="1">[2]TP!#REF!</definedName>
    <definedName name="_2Cal_Mod_.Month_REV">[3]!'[Cal-Mod].Month_REV'</definedName>
    <definedName name="_3__xlcn.WorksheetConnection_DATA2014_DLA16AK1261" hidden="1">#REF!</definedName>
    <definedName name="_4Cal_Mod_.Quarter_rev">[3]!'[Cal-Mod].Quarter_rev'</definedName>
    <definedName name="_6__123Graph_ACHART_1" hidden="1">[2]TP!#REF!</definedName>
    <definedName name="_8__123Graph_BCHART_1" hidden="1">[2]TP!#REF!</definedName>
    <definedName name="_a1" hidden="1">{"'Sheet1'!$L$16"}</definedName>
    <definedName name="_a10" hidden="1">{"'Sheet1'!$L$16"}</definedName>
    <definedName name="_a11" hidden="1">{"'Sheet1'!$L$16"}</definedName>
    <definedName name="_a12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2" hidden="1">{"'Sheet1'!$L$16"}</definedName>
    <definedName name="_a3" hidden="1">{"'Sheet1'!$L$16"}</definedName>
    <definedName name="_a4" hidden="1">{"'Sheet1'!$L$16"}</definedName>
    <definedName name="_a5" hidden="1">{"'Sheet1'!$L$16"}</definedName>
    <definedName name="_a7" hidden="1">{"'Sheet1'!$L$16"}</definedName>
    <definedName name="_a8" hidden="1">{"'Sheet1'!$L$16"}</definedName>
    <definedName name="_a9" hidden="1">{"'Sheet1'!$L$16"}</definedName>
    <definedName name="_AP1" hidden="1">{#N/A,#N/A,FALSE,"Aging Summary";#N/A,#N/A,FALSE,"Ratio Analysis";#N/A,#N/A,FALSE,"Test 120 Day Accts";#N/A,#N/A,FALSE,"Tickmarks"}</definedName>
    <definedName name="_Builtin0" hidden="1">#REF!</definedName>
    <definedName name="_d1500" hidden="1">{"'Sheet1'!$L$16"}</definedName>
    <definedName name="_F1" hidden="1">{"'Sheet1'!$L$16"}</definedName>
    <definedName name="_f5" hidden="1">{"'Sheet1'!$L$16"}</definedName>
    <definedName name="_Fill" hidden="1">#REF!</definedName>
    <definedName name="_hu1" hidden="1">{"'Sheet1'!$L$16"}</definedName>
    <definedName name="_hu2" hidden="1">{"'Sheet1'!$L$16"}</definedName>
    <definedName name="_hu5" hidden="1">{"'Sheet1'!$L$16"}</definedName>
    <definedName name="_hu6" hidden="1">{"'Sheet1'!$L$16"}</definedName>
    <definedName name="_Key1" hidden="1">#REF!</definedName>
    <definedName name="_kEY11" hidden="1">#REF!</definedName>
    <definedName name="_Key2" hidden="1">#REF!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Lan1" hidden="1">{"'Sheet1'!$L$16"}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10" hidden="1">{"'Sheet1'!$L$16"}</definedName>
    <definedName name="_M2" hidden="1">{"'Sheet1'!$L$16"}</definedName>
    <definedName name="_m3" hidden="1">{"'Sheet1'!$L$16"}</definedName>
    <definedName name="_m4" hidden="1">{"'Sheet1'!$L$16"}</definedName>
    <definedName name="_NSO2" hidden="1">{"'Sheet1'!$L$16"}</definedName>
    <definedName name="_Order1" hidden="1">255</definedName>
    <definedName name="_Order2" hidden="1">255</definedName>
    <definedName name="_PA3" hidden="1">{"'Sheet1'!$L$16"}</definedName>
    <definedName name="_Parse_In" hidden="1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01" hidden="1">#REF!</definedName>
    <definedName name="_Table1_In1" hidden="1">#REF!</definedName>
    <definedName name="_Table2_In1" hidden="1">#REF!</definedName>
    <definedName name="_Table2_In2" hidden="1">#REF!</definedName>
    <definedName name="_TK211" hidden="1">{"'Sheet1'!$L$16"}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t3" hidden="1">{"'Sheet1'!$L$16"}</definedName>
    <definedName name="_ww2" hidden="1">{#N/A,#N/A,FALSE,"Admin";#N/A,#N/A,FALSE,"Other"}</definedName>
    <definedName name="a" hidden="1">#REF!</definedName>
    <definedName name="â" hidden="1">{"'Sheet1'!$L$16"}</definedName>
    <definedName name="AAA_DOCTOPS" hidden="1">"AAA_SET"</definedName>
    <definedName name="AAA_duser" hidden="1">"OFF"</definedName>
    <definedName name="AAAA" hidden="1">{#N/A,#N/A,FALSE,"Production-Ethy.";#N/A,#N/A,FALSE,"Production-Prop.";#N/A,#N/A,FALSE,"SaleVolume-Ethy.";#N/A,#N/A,FALSE,"SaleVolume-Prop.";#N/A,#N/A,FALSE,"SellPrice-Ethy.";#N/A,#N/A,FALSE,"SellPrice-Prop.";#N/A,#N/A,FALSE,"Naph&amp;Olef Rate";#N/A,#N/A,FALSE,"Stea&amp;Olef Rate";#N/A,#N/A,FALSE,"Elec&amp;Olef Rate"}</definedName>
    <definedName name="AAAAA" hidden="1">{#N/A,#N/A,FALSE,"BUDGET"}</definedName>
    <definedName name="aaaaaaaaaa" hidden="1">{#N/A,#N/A,FALSE,"Chi tiÆt"}</definedName>
    <definedName name="aaaaaaaaaaaaaaaa" hidden="1">{0}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Q" hidden="1">{#N/A,#N/A,FALSE,"Production-Ethy.";#N/A,#N/A,FALSE,"Production-Prop.";#N/A,#N/A,FALSE,"SaleVolume-Ethy.";#N/A,#N/A,FALSE,"SaleVolume-Prop.";#N/A,#N/A,FALSE,"SellPrice-Ethy.";#N/A,#N/A,FALSE,"SellPrice-Prop.";#N/A,#N/A,FALSE,"Naph&amp;Olef Rate";#N/A,#N/A,FALSE,"Stea&amp;Olef Rate";#N/A,#N/A,FALSE,"Elec&amp;Olef Rate"}</definedName>
    <definedName name="ab">[4]MMAsst!$S$4</definedName>
    <definedName name="abc" hidden="1">{"'Sheet1'!$L$16"}</definedName>
    <definedName name="AccessDatabase" hidden="1">"C:\Documents and Settings\trong.tran\My Documents\Phieu thu chi.mdb"</definedName>
    <definedName name="ADFHA" hidden="1">{"'Sheet1'!$L$16"}</definedName>
    <definedName name="ADFHGADFH" hidden="1">{"'Sheet1'!$L$16"}</definedName>
    <definedName name="ae" hidden="1">{"HK PR",#N/A,FALSE,"HK";"SUMMARY",#N/A,FALSE,"PAYROLL";"SUMMARY",#N/A,FALSE,"PAYROLL";"HK PR",#N/A,FALSE,"HK"}</definedName>
    <definedName name="aert" hidden="1">{"'Sheet1'!$L$16"}</definedName>
    <definedName name="Allowance" hidden="1">{#N/A,#N/A,TRUE,"Cover";#N/A,#N/A,TRUE,"Cases";#N/A,#N/A,TRUE,"Assumptions";#N/A,#N/A,TRUE,"BreakEven";#N/A,#N/A,TRUE,"BS";#N/A,#N/A,TRUE,"P&amp;L";#N/A,#N/A,TRUE,"CF";#N/A,#N/A,TRUE,"Revenues";#N/A,#N/A,TRUE,"Costs";#N/A,#N/A,TRUE,"Capex";#N/A,#N/A,TRUE,"Debt"}</definedName>
    <definedName name="ALW" hidden="1">{#N/A,#N/A,TRUE,"Cover";#N/A,#N/A,TRUE,"Cases";#N/A,#N/A,TRUE,"Assumptions";#N/A,#N/A,TRUE,"BreakEven";#N/A,#N/A,TRUE,"BS";#N/A,#N/A,TRUE,"P&amp;L";#N/A,#N/A,TRUE,"CF";#N/A,#N/A,TRUE,"Revenues";#N/A,#N/A,TRUE,"Costs";#N/A,#N/A,TRUE,"Capex";#N/A,#N/A,TRUE,"Debt"}</definedName>
    <definedName name="anscount" hidden="1">2</definedName>
    <definedName name="aoe" hidden="1">{"'Model'!$A$1:$N$53"}</definedName>
    <definedName name="AP" hidden="1">{#N/A,#N/A,FALSE,"Aging Summary";#N/A,#N/A,FALSE,"Ratio Analysis";#N/A,#N/A,FALSE,"Test 120 Day Accts";#N/A,#N/A,FALSE,"Tickmarks"}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f" hidden="1">{#N/A,#N/A,TRUE,"Cover sheet";#N/A,#N/A,TRUE,"INPUTS";#N/A,#N/A,TRUE,"OUTPUTS";#N/A,#N/A,TRUE,"VALUATION"}</definedName>
    <definedName name="asdfasdfds" hidden="1">#REF!</definedName>
    <definedName name="ASDSVCSV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s" hidden="1">{"'Sheet1'!$L$16"}</definedName>
    <definedName name="asssss" hidden="1">{"'Sheet1'!$L$16"}</definedName>
    <definedName name="audit.test" hidden="1">{"FB Assumptions",#N/A,FALSE,"Asu";"FB Cashflow 1",#N/A,FALSE,"F&amp;B";"FB Cashflow 2",#N/A,FALSE,"F&amp;B"}</definedName>
    <definedName name="audit.test." hidden="1">{"Book Income",#N/A,FALSE,"B&amp;T";"Taxable Income",#N/A,FALSE,"B&amp;T"}</definedName>
    <definedName name="AuraStyleDefaultsReset" hidden="1">#N/A</definedName>
    <definedName name="avv" hidden="1">#REF!</definedName>
    <definedName name="B">#REF!</definedName>
    <definedName name="bal" hidden="1">#REF!</definedName>
    <definedName name="balancesheet" hidden="1">#REF!</definedName>
    <definedName name="banQL" hidden="1">{"'Sheet1'!$L$16"}</definedName>
    <definedName name="bb" hidden="1">{"'Eng (page2)'!$A$1:$D$52"}</definedName>
    <definedName name="bbb" hidden="1">{"'Sheet1'!$L$16"}</definedName>
    <definedName name="BCNCKT" hidden="1">{"'Sheet1'!$L$16"}</definedName>
    <definedName name="bcong5.03" hidden="1">{"'Sheet1'!$L$16"}</definedName>
    <definedName name="bcong5.03_1" hidden="1">{"'Sheet1'!$L$16"}</definedName>
    <definedName name="bcong5.03_2" hidden="1">{"'Sheet1'!$L$16"}</definedName>
    <definedName name="BCTHUET6" hidden="1">{"'Sheet1'!$L$16"}</definedName>
    <definedName name="beau" hidden="1">{"'Model'!$A$1:$N$53"}</definedName>
    <definedName name="BG_Del" hidden="1">15</definedName>
    <definedName name="BG_Ins" hidden="1">4</definedName>
    <definedName name="BG_Mod" hidden="1">6</definedName>
    <definedName name="bi" hidden="1">{"HK PR",#N/A,FALSE,"HK";"SUMMARY",#N/A,FALSE,"PAYROLL";"SUMMARY",#N/A,FALSE,"PAYROLL";"HK PR",#N/A,FALSE,"HK"}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tl" hidden="1">{"'Sheet1'!$L$16"}</definedName>
    <definedName name="btl_1" hidden="1">{"'Sheet1'!$L$16"}</definedName>
    <definedName name="btl_2" hidden="1">{"'Sheet1'!$L$16"}</definedName>
    <definedName name="C.1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seNum">#REF!</definedName>
    <definedName name="cash" hidden="1">{"'Eng (page2)'!$A$1:$D$52"}</definedName>
    <definedName name="cb_sChart16EBA7BA_opts" hidden="1">"1, 1, 1, False, 2, True, False, , 0, False, True, 1, 2"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c" hidden="1">{"'Eng (page2)'!$A$1:$D$52"}</definedName>
    <definedName name="CCD" hidden="1">#REF!</definedName>
    <definedName name="CD" hidden="1">#REF!</definedName>
    <definedName name="cdu" hidden="1">{#N/A,#N/A,FALSE,"COVER.XLS";#N/A,#N/A,FALSE,"RACT1.XLS";#N/A,#N/A,FALSE,"RACT2.XLS";#N/A,#N/A,FALSE,"ECCMP";#N/A,#N/A,FALSE,"WELDER.XLS"}</definedName>
    <definedName name="CF">#REF!</definedName>
    <definedName name="chamcongt3" hidden="1">{"'Sheet1'!$L$16"}</definedName>
    <definedName name="chamcongt3_1" hidden="1">{"'Sheet1'!$L$16"}</definedName>
    <definedName name="chamcongt3_2" hidden="1">{"'Sheet1'!$L$16"}</definedName>
    <definedName name="channelexpense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hart3" hidden="1">{"'Sheet1'!$L$16"}</definedName>
    <definedName name="chuyen" hidden="1">{"'Sheet1'!$L$16"}</definedName>
    <definedName name="chuyen_1" hidden="1">{"'Sheet1'!$L$16"}</definedName>
    <definedName name="chuyen_2" hidden="1">{"'Sheet1'!$L$16"}</definedName>
    <definedName name="CIQWBGuid" hidden="1">"31f98984-787e-48fc-adc8-ee1c3151ce60"</definedName>
    <definedName name="Code" hidden="1">#REF!</definedName>
    <definedName name="CP" hidden="1">#REF!</definedName>
    <definedName name="CPPC2001" hidden="1">{"'Model'!$A$1:$N$53"}</definedName>
    <definedName name="CTCT1" hidden="1">{"'Sheet1'!$L$16"}</definedName>
    <definedName name="CURVE" hidden="1">{#N/A,#N/A,FALSE,"COVER1.XLS ";#N/A,#N/A,FALSE,"RACT1.XLS";#N/A,#N/A,FALSE,"RACT2.XLS";#N/A,#N/A,FALSE,"ECCMP";#N/A,#N/A,FALSE,"WELDER.XLS"}</definedName>
    <definedName name="d" hidden="1">#REF!</definedName>
    <definedName name="data1" hidden="1">#REF!</definedName>
    <definedName name="data2" hidden="1">#REF!</definedName>
    <definedName name="data3" hidden="1">#REF!</definedName>
    <definedName name="Dautu" hidden="1">{"'Sheet1'!$L$16"}</definedName>
    <definedName name="DCF" hidden="1">{#N/A,#N/A,TRUE,"Cover sheet";#N/A,#N/A,TRUE,"INPUTS";#N/A,#N/A,TRUE,"OUTPUTS";#N/A,#N/A,TRUE,"VALUATION"}</definedName>
    <definedName name="ddd" hidden="1">{"'Sheet1'!$L$16"}</definedName>
    <definedName name="ddd_1" hidden="1">{"'Sheet1'!$L$16"}</definedName>
    <definedName name="ddd_2" hidden="1">{"'Sheet1'!$L$16"}</definedName>
    <definedName name="dddd" hidden="1">{"'Sheet1'!$L$16"}</definedName>
    <definedName name="DenDK" hidden="1">{"'Sheet1'!$L$16"}</definedName>
    <definedName name="DET" hidden="1">{#N/A,#N/A,FALSE,"MAIN";#N/A,#N/A,FALSE,"ACTvsBUD"}</definedName>
    <definedName name="df" hidden="1">#REF!</definedName>
    <definedName name="dfafa" hidden="1">Main.SAPF4Help()</definedName>
    <definedName name="dfdsfsdfds" hidden="1">{"HK PR",#N/A,FALSE,"HK";"SUMMARY",#N/A,FALSE,"PAYROLL";"SUMMARY",#N/A,FALSE,"PAYROLL";"HK PR",#N/A,FALSE,"HK"}</definedName>
    <definedName name="dfg" hidden="1">{#N/A,#N/A,TRUE,"Cover sheet";#N/A,#N/A,TRUE,"INPUTS";#N/A,#N/A,TRUE,"OUTPUTS";#N/A,#N/A,TRUE,"VALUATION"}</definedName>
    <definedName name="DFHADHA" hidden="1">{"'Sheet1'!$L$16"}</definedName>
    <definedName name="dfsd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fgfd" hidden="1">{#N/A,#N/A,FALSE,"COVER.XLS";#N/A,#N/A,FALSE,"RACT1.XLS";#N/A,#N/A,FALSE,"RACT2.XLS";#N/A,#N/A,FALSE,"ECCMP";#N/A,#N/A,FALSE,"WELDER.XLS"}</definedName>
    <definedName name="dhfggfkw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iag_DCF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scMan_ShowVariable" hidden="1">1</definedName>
    <definedName name="Discount" hidden="1">#REF!</definedName>
    <definedName name="display_area_2" hidden="1">#REF!</definedName>
    <definedName name="DO" hidden="1">{"'Sheet1'!$L$16"}</definedName>
    <definedName name="dqweqwer" hidden="1">{"'Sheet1'!$L$16"}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fs" hidden="1">{#N/A,#N/A,FALSE,"Aging Summary";#N/A,#N/A,FALSE,"Ratio Analysis";#N/A,#N/A,FALSE,"Test 120 Day Accts";#N/A,#N/A,FALSE,"Tickmarks"}</definedName>
    <definedName name="dsggggggggggggggg" hidden="1">#REF!</definedName>
    <definedName name="dsovd" hidden="1">{"'Sheet1'!$L$16"}</definedName>
    <definedName name="dtctnd" hidden="1">{"'Sheet1'!$L$16"}</definedName>
    <definedName name="dtctnd_1" hidden="1">{"'Sheet1'!$L$16"}</definedName>
    <definedName name="dtctnd_2" hidden="1">{"'Sheet1'!$L$16"}</definedName>
    <definedName name="duong" hidden="1">{#N/A,#N/A,FALSE,"Aging Summary";#N/A,#N/A,FALSE,"Ratio Analysis";#N/A,#N/A,FALSE,"Test 120 Day Accts";#N/A,#N/A,FALSE,"Tickmarks"}</definedName>
    <definedName name="DWPRICE" hidden="1">#REF!</definedName>
    <definedName name="DZHADH" hidden="1">{"'Sheet1'!$L$16"}</definedName>
    <definedName name="E">#REF!</definedName>
    <definedName name="EBIDA">#REF!</definedName>
    <definedName name="edqseqweqwe" hidden="1">#REF!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" hidden="1">{#N/A,#N/A,TRUE,"Cover sheet";#N/A,#N/A,TRUE,"DCF analysis";#N/A,#N/A,TRUE,"WACC calculation"}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hidden="1">{#N/A,#N/A,TRUE,"Cover sheet";#N/A,#N/A,TRUE,"DCF analysis";#N/A,#N/A,TRUE,"WACC calculation"}</definedName>
    <definedName name="egsf" hidden="1">{"'Sheet1'!$L$16"}</definedName>
    <definedName name="eqeqe" hidden="1">#REF!</definedName>
    <definedName name="ewewe" hidden="1">{"'Sheet1'!$L$16"}</definedName>
    <definedName name="ExactAddinConnection" hidden="1">"001"</definedName>
    <definedName name="ExactAddinConnection.001" hidden="1">"SO-W2K-PRO;005;jank;1"</definedName>
    <definedName name="ExactAddinConnection.100" hidden="1">"NGOM19645-2;175;Administrator;1"</definedName>
    <definedName name="ExactAddinConnection.175" hidden="1">"NGOM19645-2;175;Administrator;1"</definedName>
    <definedName name="ExactAddinConnection.200" hidden="1">"MAYCHU2;200;yen;0"</definedName>
    <definedName name="ExactAddinConnection.222" hidden="1">"MINH183590-1;710;Minh183590;1"</definedName>
    <definedName name="ExactAddinConnection.400" hidden="1">"192.168.100.222;401;camtu;1"</definedName>
    <definedName name="ExactAddinConnection.567" hidden="1">"NGO196613-1;567;Tuan;1"</definedName>
    <definedName name="ExactAddinConnection.692" hidden="1">"MINH183590-1;710;Minh183590;1"</definedName>
    <definedName name="ExactAddinConnection.710" hidden="1">"KT_SERVER;710;van2;0"</definedName>
    <definedName name="ExactAddinConnection.889" hidden="1">"NGOM19645-1;889;VAIO;1"</definedName>
    <definedName name="ExactAddinReports" hidden="1">4</definedName>
    <definedName name="f" hidden="1">{#N/A,#N/A,FALSE,"Admin";#N/A,#N/A,FALSE,"Other"}</definedName>
    <definedName name="FCode" hidden="1">#REF!</definedName>
    <definedName name="fdasfds" hidden="1">{#N/A,#N/A,TRUE,"Cover sheet";#N/A,#N/A,TRUE,"INPUTS";#N/A,#N/A,TRUE,"OUTPUTS";#N/A,#N/A,TRUE,"VALUATION"}</definedName>
    <definedName name="fdf" hidden="1">#REF!</definedName>
    <definedName name="fdfdf" hidden="1">{"HK PR",#N/A,FALSE,"HK";"SUMMARY",#N/A,FALSE,"PAYROLL";"SUMMARY",#N/A,FALSE,"PAYROLL";"HK PR",#N/A,FALSE,"HK"}</definedName>
    <definedName name="fdff" hidden="1">{"'Sheet1'!$L$16"}</definedName>
    <definedName name="fdsaf" hidden="1">{#N/A,#N/A,TRUE,"Cover sheet";#N/A,#N/A,TRUE,"INPUTS";#N/A,#N/A,TRUE,"OUTPUTS";#N/A,#N/A,TRUE,"VALUATION"}</definedName>
    <definedName name="ffff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fgdtrff" hidden="1">{#N/A,#N/A,FALSE,"Admin";#N/A,#N/A,FALSE,"Other"}</definedName>
    <definedName name="fgfgfgfg" hidden="1">#REF!</definedName>
    <definedName name="fggdfg" hidden="1">{"HK PR",#N/A,FALSE,"HK";"SUMMARY",#N/A,FALSE,"PAYROLL";"SUMMARY",#N/A,FALSE,"PAYROLL";"HK PR",#N/A,FALSE,"HK"}</definedName>
    <definedName name="fjdalöfjdsalköfdjsalö" hidden="1">{#N/A,#N/A,TRUE,"Cover sheet";#N/A,#N/A,TRUE,"INPUTS";#N/A,#N/A,TRUE,"OUTPUTS";#N/A,#N/A,TRUE,"VALUATION"}</definedName>
    <definedName name="FJY" hidden="1">{"'Sheet1'!$L$16"}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tyiri" hidden="1">{"'Sheet1'!$L$16"}</definedName>
    <definedName name="fsdfdsf" hidden="1">{"HK PR",#N/A,FALSE,"HK";"SUMMARY",#N/A,FALSE,"PAYROLL";"SUMMARY",#N/A,FALSE,"PAYROLL";"HK PR",#N/A,FALSE,"HK"}</definedName>
    <definedName name="ftyiryiu" hidden="1">{"'Sheet1'!$L$16"}</definedName>
    <definedName name="G">#REF!</definedName>
    <definedName name="gg" hidden="1">{"'Eng (page2)'!$A$1:$D$52"}</definedName>
    <definedName name="ghdfgdf" hidden="1">{"HK PR",#N/A,FALSE,"HK";"SUMMARY",#N/A,FALSE,"PAYROLL";"SUMMARY",#N/A,FALSE,"PAYROLL";"HK PR",#N/A,FALSE,"HK"}</definedName>
    <definedName name="giam" hidden="1">{#N/A,#N/A,FALSE,"Aging Summary";#N/A,#N/A,FALSE,"Ratio Analysis";#N/A,#N/A,FALSE,"Test 120 Day Accts";#N/A,#N/A,FALSE,"Tickmarks"}</definedName>
    <definedName name="gnfg" hidden="1">{"HK PR",#N/A,FALSE,"HK";"SUMMARY",#N/A,FALSE,"PAYROLL";"SUMMARY",#N/A,FALSE,"PAYROLL";"HK PR",#N/A,FALSE,"HK"}</definedName>
    <definedName name="GTH" hidden="1">#REF!</definedName>
    <definedName name="h" hidden="1">{"'Sheet1'!$L$16"}</definedName>
    <definedName name="H.1">#REF!</definedName>
    <definedName name="H.2">#REF!</definedName>
    <definedName name="ha" hidden="1">{"Reader",#N/A,FALSE,"Summary";"Reader",#N/A,FALSE,"Buildup";"Reader",#N/A,FALSE,"Financials";"Reader",#N/A,FALSE,"Debt &amp; Other"}</definedName>
    <definedName name="HALF">'[5]5.PA PL'!$HM$7:$HR$103</definedName>
    <definedName name="hanh" hidden="1">{"'Sheet1'!$L$16"}</definedName>
    <definedName name="hbbbbbb" hidden="1">{"'Sheet1'!$L$16"}</definedName>
    <definedName name="hfjjgjgjg" hidden="1">{"'Sheet1'!$L$16"}</definedName>
    <definedName name="hfjjgjgjg_1" hidden="1">{"'Sheet1'!$L$16"}</definedName>
    <definedName name="hfjjgjgjg_2" hidden="1">{"'Sheet1'!$L$16"}</definedName>
    <definedName name="hgfgy" hidden="1">{"Book Income",#N/A,FALSE,"B&amp;T";"Taxable Income",#N/A,FALSE,"B&amp;T"}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gjdhgd" hidden="1">{"'Sheet1'!$L$16"}</definedName>
    <definedName name="hhh" hidden="1">{"'Sheet1'!$L$16"}</definedName>
    <definedName name="hhhh" hidden="1">{"'Sheet1'!$L$16"}</definedName>
    <definedName name="hhhh_1" hidden="1">{"'Sheet1'!$L$16"}</definedName>
    <definedName name="hhhh_2" hidden="1">{"'Sheet1'!$L$16"}</definedName>
    <definedName name="hhhhh" hidden="1">{"'Sheet1'!$L$16"}</definedName>
    <definedName name="hhhhhh" hidden="1">{"'Sheet1'!$L$16"}</definedName>
    <definedName name="HiddenRows" hidden="1">#REF!</definedName>
    <definedName name="HIEU" hidden="1">{"'Sheet1'!$L$16"}</definedName>
    <definedName name="hjjkl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lhlj" hidden="1">#REF!</definedName>
    <definedName name="hong" hidden="1">{"'Sheet1'!$L$16"}</definedName>
    <definedName name="hp" hidden="1">{"Reader",#N/A,FALSE,"Summary";"Reader",#N/A,FALSE,"Buildup";"Reader",#N/A,FALSE,"Financials";"Reader",#N/A,FALSE,"Debt &amp; Other"}</definedName>
    <definedName name="HTML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2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Template" hidden="1">"C:\BOTHomepage\DataBank\FinMarkets\InterestRate\Int_F_his2003_T.htm"</definedName>
    <definedName name="HTML_Title" hidden="1">"00Q3961-SUM"</definedName>
    <definedName name="htmll" hidden="1">{"'Sheet1'!$L$16"}</definedName>
    <definedName name="hu" hidden="1">{"'Sheet1'!$L$16"}</definedName>
    <definedName name="hung" hidden="1">{"'Sheet1'!$L$16"}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_1" hidden="1">{"'Sheet1'!$L$16"}</definedName>
    <definedName name="huy_2" hidden="1">{"'Sheet1'!$L$16"}</definedName>
    <definedName name="huyy" hidden="1">{"'Sheet1'!$L$16"}</definedName>
    <definedName name="huyyy" hidden="1">{"'Sheet1'!$L$16"}</definedName>
    <definedName name="Hyundai" hidden="1">{#N/A,#N/A,TRUE,"Cover sheet";#N/A,#N/A,TRUE,"INPUTS";#N/A,#N/A,TRUE,"OUTPUTS";#N/A,#N/A,TRUE,"VALUATION"}</definedName>
    <definedName name="I">#REF!</definedName>
    <definedName name="I.1">#REF!</definedName>
    <definedName name="I.2">#REF!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i" hidden="1">{"'Sheet1'!$L$16"}</definedName>
    <definedName name="in" hidden="1">#REF!</definedName>
    <definedName name="intern" hidden="1">{"'Sheet1'!$L$16"}</definedName>
    <definedName name="Inven" hidden="1">{#N/A,#N/A,TRUE,"Cover";#N/A,#N/A,TRUE,"Cases";#N/A,#N/A,TRUE,"Assumptions";#N/A,#N/A,TRUE,"BreakEven";#N/A,#N/A,TRUE,"BS";#N/A,#N/A,TRUE,"P&amp;L";#N/A,#N/A,TRUE,"CF";#N/A,#N/A,TRUE,"Revenues";#N/A,#N/A,TRUE,"Costs";#N/A,#N/A,TRUE,"Capex";#N/A,#N/A,TRUE,"Debt"}</definedName>
    <definedName name="iopo" hidden="1">{"'Model'!$A$1:$N$53"}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EPS" hidden="1">"c1648"</definedName>
    <definedName name="IQ_EST_DATE" hidden="1">"c1634"</definedName>
    <definedName name="IQ_EST_EPS_GROWTH_1YR" hidden="1">"c1636"</definedName>
    <definedName name="IQ_EST_EPS_GROWTH_2YR" hidden="1">"c1637"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41157.363275463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EST" hidden="1">"c1126"</definedName>
    <definedName name="IQ_REVENUE_HIGH_EST" hidden="1">"c1127"</definedName>
    <definedName name="IQ_REVENUE_LOW_EST" hidden="1">"c1128"</definedName>
    <definedName name="IQ_REVENUE_NUM_EST" hidden="1">"c1129"</definedName>
    <definedName name="IQ_REVISION_DATE_" hidden="1">39140.4376388889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S" hidden="1">{"HK PR",#N/A,FALSE,"HK";"SUMMARY",#N/A,FALSE,"PAYROLL";"SUMMARY",#N/A,FALSE,"PAYROLL";"HK PR",#N/A,FALSE,"HK"}</definedName>
    <definedName name="J">#REF!</definedName>
    <definedName name="J.1">#REF!</definedName>
    <definedName name="J.2">#REF!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>#REF!</definedName>
    <definedName name="ked" hidden="1">{"'Model'!$A$1:$N$53"}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jnk" hidden="1">{"FB Assumptions",#N/A,FALSE,"Asu";"FB Cashflow 1",#N/A,FALSE,"F&amp;B";"FB Cashflow 2",#N/A,FALSE,"F&amp;B"}</definedName>
    <definedName name="kl" hidden="1">{"Book Income",#N/A,FALSE,"B&amp;T";"Taxable Income",#N/A,FALSE,"B&amp;T"}</definedName>
    <definedName name="kskk" hidden="1">{#N/A,#N/A,FALSE,"COVER.XLS";#N/A,#N/A,FALSE,"RACT1.XLS";#N/A,#N/A,FALSE,"RACT2.XLS";#N/A,#N/A,FALSE,"ECCMP";#N/A,#N/A,FALSE,"WELDER.XLS"}</definedName>
    <definedName name="kt" hidden="1">#REF!</definedName>
    <definedName name="kvs" hidden="1">{#N/A,#N/A,FALSE,"COVER1.XLS ";#N/A,#N/A,FALSE,"RACT1.XLS";#N/A,#N/A,FALSE,"RACT2.XLS";#N/A,#N/A,FALSE,"ECCMP";#N/A,#N/A,FALSE,"WELDER.XLS"}</definedName>
    <definedName name="L">#REF!</definedName>
    <definedName name="lan" hidden="1">{#N/A,#N/A,TRUE,"BT M200 da 10x20"}</definedName>
    <definedName name="Language">[6]BASIC!$E$4</definedName>
    <definedName name="LCC">[7]Master!$C$11</definedName>
    <definedName name="LCE">[7]Master!$F$11</definedName>
    <definedName name="LCOME">[7]Master!$F$8</definedName>
    <definedName name="LJC">[7]Master!$C$14</definedName>
    <definedName name="LJE">[7]Master!$F$14</definedName>
    <definedName name="LJSC">[7]Master!$C$13</definedName>
    <definedName name="LJSE">[7]Master!$F$13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LLL" hidden="1">{#N/A,#N/A,FALSE,"Chi tiÆt"}</definedName>
    <definedName name="LMC">[7]Master!$C$10</definedName>
    <definedName name="LME">[7]Master!$F$10</definedName>
    <definedName name="Loan" hidden="1">#REF!</definedName>
    <definedName name="long" hidden="1">{"'Sheet1'!$L$16"}</definedName>
    <definedName name="long_1" hidden="1">{"'Sheet1'!$L$16"}</definedName>
    <definedName name="long_2" hidden="1">{"'Sheet1'!$L$16"}</definedName>
    <definedName name="LSC">[7]Master!$C$12</definedName>
    <definedName name="LSE">[7]Master!$F$12</definedName>
    <definedName name="LTKD" hidden="1">{"'Sheet1'!$L$16"}</definedName>
    <definedName name="LYC">[7]Master!$C$9</definedName>
    <definedName name="LYE">[7]Master!$F$9</definedName>
    <definedName name="M">#REF!</definedName>
    <definedName name="M7Print_Title">#REF!</definedName>
    <definedName name="mco" hidden="1">{"'Sheet1'!$L$16"}</definedName>
    <definedName name="MGTFee1">'[8]CAM_TBL-09'!$Y$654</definedName>
    <definedName name="MGTFee2">'[8]CAM_TBL-09'!$Y$655</definedName>
    <definedName name="mm" hidden="1">{"'Sheet1'!$L$16"}</definedName>
    <definedName name="MM_Note1.2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MM_note2" hidden="1">{"Book Income",#N/A,FALSE,"B&amp;T";"Taxable Income",#N/A,FALSE,"B&amp;T"}</definedName>
    <definedName name="mmmmmmmm" hidden="1">#REF!</definedName>
    <definedName name="moi" hidden="1">{"'Sheet1'!$L$16"}</definedName>
    <definedName name="Month_REV">[9]!Month_REV</definedName>
    <definedName name="Month1">[0]!Month_REV([0]!Quarter_rev([3]Database!XFC1,1),1)</definedName>
    <definedName name="mua" hidden="1">{"'Sheet1'!$L$16"}</definedName>
    <definedName name="n" hidden="1">#REF!</definedName>
    <definedName name="Nam" hidden="1">#REF!</definedName>
    <definedName name="newname" hidden="1">{#N/A,#N/A,TRUE,"Cover sheet";#N/A,#N/A,TRUE,"INPUTS";#N/A,#N/A,TRUE,"OUTPUTS";#N/A,#N/A,TRUE,"VALUATION"}</definedName>
    <definedName name="newsheetPIT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ngoc" hidden="1">#REF!</definedName>
    <definedName name="nn" hidden="1">{"'Eng (page2)'!$A$1:$D$52"}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ope" hidden="1">{"'Sheet1'!$L$16"}</definedName>
    <definedName name="NumFinancing">#REF!</definedName>
    <definedName name="nut" hidden="1">{"Book Income",#N/A,FALSE,"B&amp;T";"Taxable Income",#N/A,FALSE,"B&amp;T"}</definedName>
    <definedName name="o" hidden="1">{"'Sheet1'!$L$16"}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rderTable" hidden="1">#REF!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eriodsInYear">#REF!</definedName>
    <definedName name="Phil" hidden="1">{#N/A,#N/A,FALSE,"DCF Summary";#N/A,#N/A,FALSE,"Casema";#N/A,#N/A,FALSE,"Casema NoTel";#N/A,#N/A,FALSE,"UK";#N/A,#N/A,FALSE,"RCF";#N/A,#N/A,FALSE,"Intercable CZ";#N/A,#N/A,FALSE,"Interkabel P"}</definedName>
    <definedName name="pitch" hidden="1">{#N/A,#N/A,TRUE,"Cover sheet";#N/A,#N/A,TRUE,"INPUTS";#N/A,#N/A,TRUE,"OUTPUTS";#N/A,#N/A,TRUE,"VALUATION"}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ONL" hidden="1">{#N/A,#N/A,TRUE,"Cover sheet";#N/A,#N/A,TRUE,"INPUTS";#N/A,#N/A,TRUE,"OUTPUTS";#N/A,#N/A,TRUE,"VALUATION"}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LSP403" hidden="1">{"'Sheet1'!$L$16"}</definedName>
    <definedName name="PPLSP403_1" hidden="1">{"'Sheet1'!$L$16"}</definedName>
    <definedName name="PPLSP403_2" hidden="1">{"'Sheet1'!$L$16"}</definedName>
    <definedName name="PPT">[0]!Month_REV([0]!Quarter_rev([3]Database!XFC1,1),1)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xlnm.Print_Area" localSheetId="0">'BS 6 - 8'!$A$1:$J$107</definedName>
    <definedName name="_xlnm.Print_Area" localSheetId="1">'PL 9 - 10'!$A$1:$J$81</definedName>
    <definedName name="_xlnm.Print_Area">#REF!</definedName>
    <definedName name="_xlnm.Print_Titles">#N/A</definedName>
    <definedName name="PrintArea">#REF!</definedName>
    <definedName name="ProdForm" hidden="1">#REF!</definedName>
    <definedName name="Product" hidden="1">#REF!</definedName>
    <definedName name="ptich" hidden="1">{#N/A,#N/A,TRUE,"Cover sheet";#N/A,#N/A,TRUE,"INPUTS";#N/A,#N/A,TRUE,"OUTPUTS";#N/A,#N/A,TRUE,"VALUATION"}</definedName>
    <definedName name="q" hidden="1">{"'Sheet1'!$L$16"}</definedName>
    <definedName name="qẽrwdsfdfwfwdfw" hidden="1">{"'Sheet1'!$L$16"}</definedName>
    <definedName name="qq" hidden="1">{"'Eng (page2)'!$A$1:$D$52"}</definedName>
    <definedName name="qqq" hidden="1">{"'Sheet1'!$L$16"}</definedName>
    <definedName name="Quarter_rev">[9]!Quarter_rev</definedName>
    <definedName name="qweqwerqwer" hidden="1">#REF!</definedName>
    <definedName name="RCArea" hidden="1">#REF!</definedName>
    <definedName name="rebate" hidden="1">{"'Sheet1'!$L$16"}</definedName>
    <definedName name="refg" hidden="1">{#N/A,#N/A,TRUE,"Cover sheet";#N/A,#N/A,TRUE,"INPUTS";#N/A,#N/A,TRUE,"OUTPUTS";#N/A,#N/A,TRUE,"VALUATION"}</definedName>
    <definedName name="Report">#REF!</definedName>
    <definedName name="rẻr34rwer" hidden="1">{"HK PR",#N/A,FALSE,"HK";"SUMMARY",#N/A,FALSE,"PAYROLL";"SUMMARY",#N/A,FALSE,"PAYROLL";"HK PR",#N/A,FALSE,"HK"}</definedName>
    <definedName name="res_sum" hidden="1">{#N/A,#N/A,FALSE,"COVER1.XLS ";#N/A,#N/A,FALSE,"RACT1.XLS";#N/A,#N/A,FALSE,"RACT2.XLS";#N/A,#N/A,FALSE,"ECCMP";#N/A,#N/A,FALSE,"WELDER.XLS"}</definedName>
    <definedName name="RPTs1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were" hidden="1">{#N/A,#N/A,FALSE,"COVER1.XLS ";#N/A,#N/A,FALSE,"RACT1.XLS";#N/A,#N/A,FALSE,"RACT2.XLS";#N/A,#N/A,FALSE,"ECCMP";#N/A,#N/A,FALSE,"WELDER.XLS"}</definedName>
    <definedName name="s" hidden="1">#REF!</definedName>
    <definedName name="sadasdsad" hidden="1">#REF!</definedName>
    <definedName name="SAPBEXhrIndnt" hidden="1">1</definedName>
    <definedName name="SAPBEXrevision" hidden="1">1</definedName>
    <definedName name="SAPBEXsysID" hidden="1">"P27"</definedName>
    <definedName name="SAPBEXwbID" hidden="1">"3MM3W0Q9PPZFQ549Z95YMNNK2"</definedName>
    <definedName name="SAPFuncF4Help" hidden="1">Main.SAPF4Help()</definedName>
    <definedName name="ScenarioNum">#REF!</definedName>
    <definedName name="sdadss" hidden="1">{"HK PR",#N/A,FALSE,"HK";"SUMMARY",#N/A,FALSE,"PAYROLL";"SUMMARY",#N/A,FALSE,"PAYROLL";"HK PR",#N/A,FALSE,"HK"}</definedName>
    <definedName name="sdasdasds" hidden="1">#REF!</definedName>
    <definedName name="sdfw" hidden="1">{"'Sheet1'!$L$16"}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n" hidden="1">{"'Sheet1'!$L$16"}</definedName>
    <definedName name="sencount" hidden="1">1</definedName>
    <definedName name="Set">'[10]PL-Kip(after adj)'!$AY$1</definedName>
    <definedName name="SEVE" hidden="1">#REF!</definedName>
    <definedName name="seysety" hidden="1">{"'Sheet1'!$L$16"}</definedName>
    <definedName name="sfsgsfhg" hidden="1">{"'Sheet1'!$L$16"}</definedName>
    <definedName name="SgBhtCur">[8]Poperty!$R$70</definedName>
    <definedName name="SgBhtLast">[11]MMAsst!$S$4</definedName>
    <definedName name="sheetnew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sles" hidden="1">{#N/A,#N/A,FALSE,"COVER.XLS";#N/A,#N/A,FALSE,"RACT1.XLS";#N/A,#N/A,FALSE,"RACT2.XLS";#N/A,#N/A,FALSE,"ECCMP";#N/A,#N/A,FALSE,"WELDER.XLS"}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t" hidden="1">#REF!</definedName>
    <definedName name="Spec">#REF!</definedName>
    <definedName name="SpecialPrice" hidden="1">#REF!</definedName>
    <definedName name="SS" hidden="1">{"'Sheet1'!$L$16"}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" hidden="1">{"'Sheet1'!$L$16"}</definedName>
    <definedName name="ssxsdcdsfcdsf" hidden="1">{"HK PR",#N/A,FALSE,"HK";"SUMMARY",#N/A,FALSE,"PAYROLL";"SUMMARY",#N/A,FALSE,"PAYROLL";"HK PR",#N/A,FALSE,"HK"}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wap1">[12]Debt!$F$133</definedName>
    <definedName name="swap2">[12]Debt!$F$151</definedName>
    <definedName name="T4_DrawDownProfile">#REF!</definedName>
    <definedName name="T4_FinancingStructures">#REF!</definedName>
    <definedName name="T4_GracePeriod">#REF!</definedName>
    <definedName name="T4_InterestRate">#REF!</definedName>
    <definedName name="T4_LaunchMonth">#REF!</definedName>
    <definedName name="T4_LaunchYear">#REF!</definedName>
    <definedName name="T4_Tenor">#REF!</definedName>
    <definedName name="T4TotalCapex">#REF!</definedName>
    <definedName name="Tan" hidden="1">{"'Sheet1'!$L$16"}</definedName>
    <definedName name="tbl_ProdInfo" hidden="1">#REF!</definedName>
    <definedName name="TCC">[7]Master!$B$11</definedName>
    <definedName name="TCE">[7]Master!$E$11</definedName>
    <definedName name="TCOME">[7]Master!$E$8</definedName>
    <definedName name="temp">#REF!</definedName>
    <definedName name="TextRefCopyRangeCount" hidden="1">5</definedName>
    <definedName name="TH" hidden="1">{"'Sheet1'!$L$16"}</definedName>
    <definedName name="tha" hidden="1">{"'Sheet1'!$L$16"}</definedName>
    <definedName name="thang13" hidden="1">{"'Sheet1'!$L$16"}</definedName>
    <definedName name="thanh" hidden="1">{"'Sheet1'!$L$16"}</definedName>
    <definedName name="thfg" hidden="1">{"'Sheet1'!$L$16"}</definedName>
    <definedName name="ThiacomD1">'[8]CAM_TBL-09'!$Y$645</definedName>
    <definedName name="ThiacomD2">'[8]CAM_TBL-09'!$Y$648</definedName>
    <definedName name="thu" hidden="1">{"'Sheet1'!$L$16"}</definedName>
    <definedName name="thuy" hidden="1">{"'Sheet1'!$L$16"}</definedName>
    <definedName name="TJC">[7]Master!$B$14</definedName>
    <definedName name="TJE">[7]Master!$E$14</definedName>
    <definedName name="TJSC">[7]Master!$B$13</definedName>
    <definedName name="TJSE">[7]Master!$E$13</definedName>
    <definedName name="TMC">[7]Master!$B$10</definedName>
    <definedName name="TME">[7]Master!$E$10</definedName>
    <definedName name="Tonghop" hidden="1">{"'Sheet1'!$L$16"}</definedName>
    <definedName name="tryijtryi" hidden="1">{"'Sheet1'!$L$16"}</definedName>
    <definedName name="TSC">[7]Master!$B$12</definedName>
    <definedName name="TSE">[7]Master!$E$12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un" hidden="1">{"'Model'!$A$1:$N$53"}</definedName>
    <definedName name="tuy" hidden="1">{"'Sheet1'!$L$16"}</definedName>
    <definedName name="TV" hidden="1">{"'Sheet1'!$L$16"}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C">[7]Master!$B$9</definedName>
    <definedName name="TYE">[7]Master!$E$9</definedName>
    <definedName name="Types" hidden="1">#REF!</definedName>
    <definedName name="ungT3" hidden="1">{"'Sheet1'!$L$16"}</definedName>
    <definedName name="ungT3_1" hidden="1">{"'Sheet1'!$L$16"}</definedName>
    <definedName name="ungT3_2" hidden="1">{"'Sheet1'!$L$16"}</definedName>
    <definedName name="usd">[13]MMAsst!$S$2</definedName>
    <definedName name="UsdBhtAvg">[8]Poperty!$S$72</definedName>
    <definedName name="UsdSgCur">[11]MMAsst!$S$3</definedName>
    <definedName name="UsdSgLast">[11]MMAsst!$S$2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alid_date">'[14]List valid date'!$A$1:$A$12</definedName>
    <definedName name="ValuationBAAMultiple" hidden="1">{#N/A,#N/A,TRUE,"Cover sheet";#N/A,#N/A,TRUE,"INPUTS";#N/A,#N/A,TRUE,"OUTPUTS";#N/A,#N/A,TRUE,"VALUATION"}</definedName>
    <definedName name="vay" hidden="1">{"'Sheet1'!$L$16"}</definedName>
    <definedName name="vcbo1" hidden="1">{"'Sheet1'!$L$16"}</definedName>
    <definedName name="vcvvvv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vg" hidden="1">{#N/A,#N/A,TRUE,"Cover sheet";#N/A,#N/A,TRUE,"DCF analysis";#N/A,#N/A,TRUE,"WACC calculation"}</definedName>
    <definedName name="vhxfj" hidden="1">{"'Sheet1'!$L$16"}</definedName>
    <definedName name="VTM_2" hidden="1">#REF!</definedName>
    <definedName name="VTM_3" hidden="1">#REF!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deqkwrjqekr" hidden="1">#REF!</definedName>
    <definedName name="we" hidden="1">#REF!</definedName>
    <definedName name="WERWERWER" hidden="1">#REF!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2.2" hidden="1">{#N/A,#N/A,FALSE,"17MAY";#N/A,#N/A,FALSE,"24MAY"}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ging._.and._.Trend._.Analysis." hidden="1">{#N/A,#N/A,FALSE,"Aging Summary";#N/A,#N/A,FALSE,"Ratio Analysis";#N/A,#N/A,FALSE,"Test 120 Day Accts";#N/A,#N/A,FALSE,"Tickmarks"}</definedName>
    <definedName name="wrn.All." hidden="1">{"CF Assumptions",#N/A,FALSE,"Asu";#N/A,#N/A,FALSE,"Notes";#N/A,#N/A,FALSE,"CF";#N/A,#N/A,FALSE,"Summary";#N/A,#N/A,FALSE,"B&amp;T";"Taxable Income",#N/A,FALSE,"B&amp;T";"SM1",#N/A,FALSE,"SM";"SM2",#N/A,FALSE,"SM";#N/A,#N/A,FALSE,"C&amp;D";"NetFees",#N/A,FALSE,"MAINT";"RoomNights",#N/A,FALSE,"MAINT";"Mgmt1",#N/A,FALSE,"MGMT";"Mgmt2",#N/A,FALSE,"MGMT";"Rent1",#N/A,FALSE,"RENT";"Rent2",#N/A,FALSE,"RENT";#N/A,#N/A,FALSE,"HOSP";#N/A,#N/A,FALSE,"FIN";#N/A,#N/A,FALSE,"CF (2)";#N/A,#N/A,FALSE,"C&amp;D (2)";"FB Assumptions",#N/A,FALSE,"Asu";"FB Cashflow 1",#N/A,FALSE,"F&amp;B";"FB Cashflow 2",#N/A,FALSE,"F&amp;B";"Golf Assumptions",#N/A,FALSE,"Asu";"Golf PF1",#N/A,FALSE,"Golf";"Golf PF2",#N/A,FALSE,"Golf";"Golf Dep1",#N/A,FALSE,"Golf";"Golf Dep2",#N/A,FALSE,"Golf";"Rpt_Cost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Bridge",#N/A,FALSE,"Reports";"Sensitivity1",#N/A,FALSE,"Sensitivity";"Rpt_Price Pace Comp",#N/A,FALSE,"Reports";"Sensitivity2",#N/A,FALSE,"Sensitivity"}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 hidden="1">{#N/A,#N/A,FALSE,"Summary";"Sensitivity1",#N/A,FALSE,"Sensitivity";"Sensitivity2",#N/A,FALSE,"Sensitivity";"Rpt_Cost Bridge",#N/A,FALSE,"Reports";"Rpt_Cost Comp",#N/A,FALSE,"Reports";"Rpt_CP22",#N/A,FALSE,"Reports";"Rpt_Economic Comp",#N/A,FALSE,"Reports";"Rpt_Inv Mix1",#N/A,FALSE,"Reports";"Rpt_Inv Mix2",#N/A,FALSE,"Reports";"Rpt_LRP Comp",#N/A,FALSE,"Reports";"Rpt_NPV Bridge",#N/A,FALSE,"Reports";"Rpt_Price Pace Comp",#N/A,FALSE,"Reports";#N/A,#N/A,FALSE,"Notes"}</definedName>
    <definedName name="wrn.AQUIROR._.DCF." hidden="1">{"AQUIRORDCF",#N/A,FALSE,"Merger consequences";"Acquirorassns",#N/A,FALSE,"Merger consequences"}</definedName>
    <definedName name="wrn.Cashflow." hidden="1">{"cashflow",#N/A,FALSE,"cash flow"}</definedName>
    <definedName name="wrn.chi._.tiÆt." hidden="1">{#N/A,#N/A,FALSE,"Chi tiÆt"}</definedName>
    <definedName name="wrn.chi._.tiÆt._1" hidden="1">{#N/A,#N/A,FALSE,"Chi tiÆt"}</definedName>
    <definedName name="wrn.chi._.tiÆt._2" hidden="1">{#N/A,#N/A,FALSE,"Chi tiÆt"}</definedName>
    <definedName name="wrn.Coface." hidden="1">{#N/A,#N/A,FALSE,"Cover";#N/A,#N/A,FALSE,"Assumptions";#N/A,#N/A,FALSE,"Ratios";#N/A,#N/A,FALSE,"P&amp;L";#N/A,#N/A,FALSE,"CF";#N/A,#N/A,FALSE,"BS";#N/A,#N/A,FALSE,"Revenues";#N/A,#N/A,FALSE,"Costs";#N/A,#N/A,FALSE,"Capex";#N/A,#N/A,FALSE,"Debt"}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Cash._.Flow." hidden="1">{"CF Assumptions",#N/A,FALSE,"Asu";#N/A,#N/A,FALSE,"Summary";#N/A,#N/A,FALSE,"CF (2)";#N/A,#N/A,FALSE,"C&amp;D";"SM1",#N/A,FALSE,"SM";"SM2",#N/A,FALSE,"SM";#N/A,#N/A,FALSE,"B&amp;T";"Mgmt1",#N/A,FALSE,"MGMT";"Mgmt2",#N/A,FALSE,"MGMT";"Rent1",#N/A,FALSE,"RENT";"Rent2",#N/A,FALSE,"RENT";#N/A,#N/A,FALSE,"HOSP";#N/A,#N/A,FALSE,"FIN";#N/A,#N/A,FALSE,"Notes"}</definedName>
    <definedName name="wrn.conso." hidden="1">{"conso",#N/A,FALSE,"cash flow"}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DCF." hidden="1">{"DCF1",#N/A,FALSE,"SIERRA DCF";"MATRIX1",#N/A,FALSE,"SIERRA DCF"}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hidden="1">{"qchm_dcf",#N/A,FALSE,"QCHMDCF2";"qchm_terminal",#N/A,FALSE,"QCHMDCF2"}</definedName>
    <definedName name="wrn.Economic._.Value._.Added._.Analysis." hidden="1">{"EVA",#N/A,FALSE,"EVA";"WACC",#N/A,FALSE,"WACC"}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ood_Beverage." hidden="1">{"FB Assumptions",#N/A,FALSE,"Asu";"FB Cashflow 1",#N/A,FALSE,"F&amp;B";"FB Cashflow 2",#N/A,FALSE,"F&amp;B"}</definedName>
    <definedName name="wrn.Forecast." hidden="1">{"CF Assumptions",#N/A,FALSE,"Asu";#N/A,#N/A,FALSE,"CF (2)";"Sensitivity2",#N/A,FALSE,"Sensitivity";"SM1",#N/A,FALSE,"SM";#N/A,#N/A,FALSE,"C&amp;D (2)";"Mgmt1",#N/A,FALSE,"MGMT";"Mgmt2",#N/A,FALSE,"MGMT";"Rpt_Cost Bridge",#N/A,FALSE,"Reports";"Rpt_CP22",#N/A,FALSE,"Reports";"Rpt_LRP Comp",#N/A,FALSE,"Reports";"Rpt_NPV Bridge",#N/A,FALSE,"Reports";#N/A,#N/A,FALSE,"Notes"}</definedName>
    <definedName name="wrn.full.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Report." hidden="1">{#N/A,#N/A,TRUE,"Cover";#N/A,#N/A,TRUE,"Cases";#N/A,#N/A,TRUE,"Assumptions";#N/A,#N/A,TRUE,"BreakEven";#N/A,#N/A,TRUE,"BS";#N/A,#N/A,TRUE,"P&amp;L";#N/A,#N/A,TRUE,"CF";#N/A,#N/A,TRUE,"Revenues";#N/A,#N/A,TRUE,"Costs";#N/A,#N/A,TRUE,"Capex";#N/A,#N/A,TRUE,"Debt"}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B._.Planning._.To._.Win._.96." hidden="1">{#N/A,#N/A,TRUE,"HDD Business Plan";#N/A,#N/A,TRUE,"Planning To Win";#N/A,#N/A,TRUE,"Financial Performance";#N/A,#N/A,TRUE,"Income Statement Quarterly";#N/A,#N/A,TRUE,"Balance Sheet ";#N/A,#N/A,TRUE,"Cash Flow Quarterly";#N/A,#N/A,TRUE,"Costs of Organisation - Quarter"}</definedName>
    <definedName name="wrn.Golf." hidden="1">{"Golf Assumptions",#N/A,FALSE,"Asu";"Golf PF1",#N/A,FALSE,"Golf";"Golf PF2",#N/A,FALSE,"Golf";"Golf Dep1",#N/A,FALSE,"Golf";"Golf Dep2",#N/A,FALSE,"Golf"}</definedName>
    <definedName name="wrn.HDD._.Business._.Plan." hidden="1">{#N/A,#N/A,TRUE,"HDD Business Plan";#N/A,#N/A,TRUE,"Financial Summary";#N/A,#N/A,TRUE,"Sales";#N/A,#N/A,TRUE,"Sales prices";#N/A,#N/A,TRUE,"Prototyping &amp; Tooling";#N/A,#N/A,TRUE,"Product dev plan";#N/A,#N/A,TRUE,"Variable costs";#N/A,#N/A,TRUE,"Direct production costs";#N/A,#N/A,TRUE,"Indirect production costs ";#N/A,#N/A,TRUE,"Development costs";#N/A,#N/A,TRUE,"BU management costs";#N/A,#N/A,TRUE,"Profit &amp; Loss account HDD";#N/A,#N/A,TRUE,"Profit &amp; Loss account 1.8""";#N/A,#N/A,TRUE,"Profit &amp; Loss account 2.5""";#N/A,#N/A,TRUE,"Profit &amp; Loss account 3.5"" ";#N/A,#N/A,TRUE,"Balance sheet";#N/A,#N/A,TRUE,"Cash flow";#N/A,#N/A,TRUE,"Purchased goods";#N/A,#N/A,TRUE,"Investments";#N/A,#N/A,TRUE,"Production Facilities";#N/A,#N/A,TRUE,"Graphs";#N/A,#N/A,TRUE,"Quotations";#N/A,#N/A,TRUE,"Graphs quotation"}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{"Book Income",#N/A,FALSE,"B&amp;T";"Taxable Income",#N/A,FALSE,"B&amp;T"}</definedName>
    <definedName name="wrn.Monthly._.Statement." hidden="1">{#N/A,#N/A,FALSE,"Tabelle2";#N/A,#N/A,FALSE,"Tabelle1"}</definedName>
    <definedName name="wrn.OUTPUT." hidden="1">{"DCF","UPSIDE CASE",FALSE,"Sheet1";"DCF","BASE CASE",FALSE,"Sheet1";"DCF","DOWNSIDE CASE",FALSE,"Sheet1"}</definedName>
    <definedName name="wrn.phak." hidden="1">{#N/A,#N/A,TRUE,"Tæng hîp"}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rint." hidden="1">{#N/A,#N/A,FALSE,"Admin";#N/A,#N/A,FALSE,"Other"}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ader." hidden="1">{"Reader",#N/A,FALSE,"Summary";"Reader",#N/A,FALSE,"Buildup";"Reader",#N/A,FALSE,"Financials";"Reader",#N/A,FALSE,"Debt &amp; Other"}</definedName>
    <definedName name="wrn.Rent." hidden="1">{"Rent1",#N/A,FALSE,"RENT";"Rent2",#N/A,FALSE,"RENT"}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ensitive." hidden="1">{"Sensitivity1",#N/A,FALSE,"Sensitivity";"Sensitivity2",#N/A,FALSE,"Sensitivity"}</definedName>
    <definedName name="wrn.Steering._.Committee." hidden="1">{"CF Assumptions",#N/A,FALSE,"Asu";#N/A,#N/A,FALSE,"Summary";#N/A,#N/A,FALSE,"CF (2)";#N/A,#N/A,FALSE,"SM";#N/A,#N/A,FALSE,"C&amp;D";#N/A,#N/A,FALSE,"MGMT";#N/A,#N/A,FALSE,"Notes"}</definedName>
    <definedName name="wrn.summ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SummaryReport.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OTAL." hidden="1">{#N/A,#N/A,FALSE,"INCOME";#N/A,#N/A,FALSE,"BG1-QUARTERLY";#N/A,#N/A,FALSE,"BG1-MONTHLY"}</definedName>
    <definedName name="wrn.vd." hidden="1">{#N/A,#N/A,TRUE,"BT M200 da 10x20"}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w" hidden="1">{"'Eng (page2)'!$A$1:$D$52"}</definedName>
    <definedName name="xfgjxfgj" hidden="1">{"'Sheet1'!$L$16"}</definedName>
    <definedName name="xkeogjana" hidden="1">{"Reader",#N/A,FALSE,"Summary";"Reader",#N/A,FALSE,"Buildup";"Reader",#N/A,FALSE,"Financials";"Reader",#N/A,FALSE,"Debt &amp; Other"}</definedName>
    <definedName name="xls" hidden="1">{"'Sheet1'!$L$16"}</definedName>
    <definedName name="XRefColumnsCount" hidden="1">5</definedName>
    <definedName name="XRefCopyRangeCount" hidden="1">1</definedName>
    <definedName name="XRefPasteRangeCount" hidden="1">5</definedName>
    <definedName name="xs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xx" hidden="1">{#N/A,#N/A,FALSE,"Aging Summary";#N/A,#N/A,FALSE,"Ratio Analysis";#N/A,#N/A,FALSE,"Test 120 Day Accts";#N/A,#N/A,FALSE,"Tickmarks"}</definedName>
    <definedName name="xxx" hidden="1">#REF!</definedName>
    <definedName name="xxxx" hidden="1">{"HK PR",#N/A,FALSE,"HK";"SUMMARY",#N/A,FALSE,"PAYROLL";"SUMMARY",#N/A,FALSE,"PAYROLL";"HK PR",#N/A,FALSE,"HK"}</definedName>
    <definedName name="xxxxx" hidden="1">{"HK PR",#N/A,FALSE,"HK";"SUMMARY",#N/A,FALSE,"PAYROLL";"SUMMARY",#N/A,FALSE,"PAYROLL";"HK PR",#N/A,FALSE,"HK"}</definedName>
    <definedName name="Year_A_20">"="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ZD" hidden="1">{"'Eng (page2)'!$A$1:$D$52"}</definedName>
    <definedName name="zdyhdh" hidden="1">{"'Sheet1'!$L$16"}</definedName>
    <definedName name="zz" hidden="1">#REF!</definedName>
    <definedName name="zz_1" hidden="1">{"'Sheet1'!$L$16"}</definedName>
    <definedName name="zz_2" hidden="1">{"'Sheet1'!$L$16"}</definedName>
    <definedName name="ร" hidden="1">{"'Model'!$A$1:$N$53"}</definedName>
    <definedName name="หยำแ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2" l="1"/>
  <c r="D67" i="2" l="1"/>
  <c r="J76" i="1" l="1"/>
  <c r="H76" i="1"/>
  <c r="F76" i="1"/>
  <c r="D76" i="1"/>
  <c r="H21" i="1" l="1"/>
  <c r="J21" i="1"/>
  <c r="F21" i="1"/>
  <c r="H42" i="1"/>
  <c r="H102" i="1"/>
  <c r="H104" i="1" s="1"/>
  <c r="F102" i="1"/>
  <c r="F104" i="1" s="1"/>
  <c r="H67" i="2"/>
  <c r="H46" i="2"/>
  <c r="H13" i="2"/>
  <c r="H17" i="2" s="1"/>
  <c r="H24" i="2" s="1"/>
  <c r="H28" i="2" s="1"/>
  <c r="H30" i="2" s="1"/>
  <c r="H64" i="1"/>
  <c r="F64" i="1"/>
  <c r="J42" i="1"/>
  <c r="J102" i="1"/>
  <c r="J104" i="1" s="1"/>
  <c r="J64" i="1"/>
  <c r="J78" i="1" s="1"/>
  <c r="F42" i="1"/>
  <c r="H72" i="2" l="1"/>
  <c r="H74" i="2" s="1"/>
  <c r="H68" i="2"/>
  <c r="F78" i="1"/>
  <c r="F106" i="1" s="1"/>
  <c r="J106" i="1"/>
  <c r="J44" i="1"/>
  <c r="H44" i="1"/>
  <c r="F44" i="1"/>
  <c r="H78" i="1"/>
  <c r="H106" i="1" s="1"/>
  <c r="D79" i="2"/>
  <c r="D74" i="2"/>
  <c r="D13" i="2"/>
  <c r="D21" i="1"/>
  <c r="D64" i="1"/>
  <c r="D42" i="1"/>
  <c r="D46" i="2"/>
  <c r="D102" i="1"/>
  <c r="D104" i="1" s="1"/>
  <c r="H69" i="2" l="1"/>
  <c r="H77" i="2" s="1"/>
  <c r="D17" i="2"/>
  <c r="D78" i="1"/>
  <c r="D68" i="2"/>
  <c r="D44" i="1"/>
  <c r="H79" i="2" l="1"/>
  <c r="D24" i="2"/>
  <c r="D106" i="1"/>
  <c r="D28" i="2" l="1"/>
  <c r="D30" i="2" s="1"/>
  <c r="D69" i="2" l="1"/>
</calcChain>
</file>

<file path=xl/sharedStrings.xml><?xml version="1.0" encoding="utf-8"?>
<sst xmlns="http://schemas.openxmlformats.org/spreadsheetml/2006/main" count="198" uniqueCount="137">
  <si>
    <t>บริษัท กัลฟ์ เอ็นเนอร์จี ดีเวลลอปเมนท์ จำกัด (มหาชน) และบริษัทย่อย</t>
  </si>
  <si>
    <t>งบแสดงฐานะการเงิน</t>
  </si>
  <si>
    <t>งบการเงินรวม</t>
  </si>
  <si>
    <t>งบการเงินเฉพาะกิจการ</t>
  </si>
  <si>
    <t>31 ธันวาคม</t>
  </si>
  <si>
    <t>สินทรัพย์</t>
  </si>
  <si>
    <t>หมายเหตุ</t>
  </si>
  <si>
    <t>(บาท)</t>
  </si>
  <si>
    <t>สินทรัพย์หมุนเวียน</t>
  </si>
  <si>
    <t>เงินสดและรายการเทียบเท่าเงินสด</t>
  </si>
  <si>
    <t>เงินฝากสถาบันการเงินระยะสั้นที่ใช้เป็นหลักประกัน</t>
  </si>
  <si>
    <t>ลูกหนี้การค้า</t>
  </si>
  <si>
    <t>5, 22</t>
  </si>
  <si>
    <t>ลูกหนี้สัญญาเช่าภายใต้สัญญาซื้อขายไฟฟ้า</t>
  </si>
  <si>
    <t xml:space="preserve">   ส่วนที่ถึงกำหนดรับชำระภายในหนึ่งปี </t>
  </si>
  <si>
    <t>ลูกหนี้อื่น</t>
  </si>
  <si>
    <t>เงินให้กู้ยืมระยะสั้นแก่กิจการที่เกี่ยวข้องกัน</t>
  </si>
  <si>
    <t>เงินให้กู้ยืมระยะยาวแก่กิจการที่เกี่ยวข้องกัน</t>
  </si>
  <si>
    <t>สินทรัพย์ทางการเงินหมุนเวียนอื่น</t>
  </si>
  <si>
    <t>สินค้าคงเหลือ</t>
  </si>
  <si>
    <t>ภาษีมูลค่าเพิ่มรอเรียกคืน</t>
  </si>
  <si>
    <t>รวมสินทรัพย์หมุนเวียน</t>
  </si>
  <si>
    <t>สินทรัพย์ไม่หมุนเวียน</t>
  </si>
  <si>
    <t>เงินฝากสถาบันการเงินที่ใช้เป็นหลักประกัน</t>
  </si>
  <si>
    <t>สินทรัพย์ทางการเงินไม่หมุนเวียนอื่น</t>
  </si>
  <si>
    <t>เงินลงทุนในบริษัทย่อย</t>
  </si>
  <si>
    <t>เงินลงทุนในบริษัทร่วม</t>
  </si>
  <si>
    <t>เงินลงทุนในการร่วมค้า</t>
  </si>
  <si>
    <t>ลูกหนี้การค้าไม่หมุนเวียน</t>
  </si>
  <si>
    <t>ลูกหนี้ไม่หมุนเวียนอื่น</t>
  </si>
  <si>
    <t>ลูกหนี้ภายใต้สัญญาสัมปทาน</t>
  </si>
  <si>
    <t>อสังหาริมทรัพย์เพื่อการลงทุน</t>
  </si>
  <si>
    <t>เงินจ่ายล่วงหน้าสำหรับที่ดิน อาคารและอุปกรณ์</t>
  </si>
  <si>
    <t>ที่ดิน อาคารและอุปกรณ์</t>
  </si>
  <si>
    <t xml:space="preserve">สินทรัพย์สิทธิการใช้ </t>
  </si>
  <si>
    <t>สินทรัพย์ไม่มีตัวตน</t>
  </si>
  <si>
    <t>สินทรัพย์ภาษีเงินได้รอการตัดบัญชี</t>
  </si>
  <si>
    <t>สินทรัพย์ไม่หมุนเวียนอื่น</t>
  </si>
  <si>
    <t>รวมสินทรัพย์ไม่หมุนเวียน</t>
  </si>
  <si>
    <t>รวมสินทรัพย์</t>
  </si>
  <si>
    <t>หนี้สินและส่วนของผู้ถือหุ้น</t>
  </si>
  <si>
    <t>หนี้สินหมุนเวียน</t>
  </si>
  <si>
    <t>เงินกู้ยืมระยะสั้นจากสถาบันการเงิน</t>
  </si>
  <si>
    <t>13, 22</t>
  </si>
  <si>
    <t>เงินกู้ยืมระยะสั้นจากกิจการที่เกี่ยวข้องกัน</t>
  </si>
  <si>
    <t>เจ้าหนี้การค้า</t>
  </si>
  <si>
    <t>เจ้าหนี้ค่าก่อสร้าง</t>
  </si>
  <si>
    <t>เจ้าหนี้อื่น</t>
  </si>
  <si>
    <t>เงินกู้ยืมระยะยาวจากสถาบันการเงิน</t>
  </si>
  <si>
    <t xml:space="preserve">   ที่ถึงกำหนดชำระภายในหนึ่งปี</t>
  </si>
  <si>
    <t>หนี้สินตามสัญญาเช่าที่ถึงกำหนดชำระภายในหนึ่งปี</t>
  </si>
  <si>
    <t>หุ้นกู้ที่ถึงกำหนดชำระภายในหนึ่งปี</t>
  </si>
  <si>
    <t>ภาษีเงินได้นิติบุคคลค้างจ่าย</t>
  </si>
  <si>
    <t>หนี้สินทางการเงินหมุนเวียนอื่น</t>
  </si>
  <si>
    <t>รวมหนี้สินหมุนเวียน</t>
  </si>
  <si>
    <t>หนี้สินไม่หมุนเวียน</t>
  </si>
  <si>
    <t>เจ้าหนี้ไม่หมุนเวียนอื่น</t>
  </si>
  <si>
    <t>หนี้สินทางการเงินไม่หมุนเวียนอื่น</t>
  </si>
  <si>
    <t>หนี้สินตามสัญญาเช่า</t>
  </si>
  <si>
    <t>หุ้นกู้</t>
  </si>
  <si>
    <t>หนี้สินภาษีเงินได้รอการตัดบัญชี</t>
  </si>
  <si>
    <t>ประมาณการหนี้สินสำหรับผลประโยชน์พนักงาน</t>
  </si>
  <si>
    <t>ประมาณการหนี้สินค่ารื้อถอน</t>
  </si>
  <si>
    <t>รวมหนี้สินไม่หมุนเวียน</t>
  </si>
  <si>
    <t>รวมหนี้สิน</t>
  </si>
  <si>
    <t>ส่วนของผู้ถือหุ้น</t>
  </si>
  <si>
    <t>ทุนเรือนหุ้น</t>
  </si>
  <si>
    <t xml:space="preserve">   ทุนจดทะเบียน</t>
  </si>
  <si>
    <t xml:space="preserve">   (หุ้นสามัญจำนวน 11,733.15 ล้านหุ้น มูลค่า 1 บาทต่อหุ้น)</t>
  </si>
  <si>
    <t xml:space="preserve">   ทุนที่ออกและชำระแล้ว</t>
  </si>
  <si>
    <t>ส่วนเกินมูลค่าหุ้น</t>
  </si>
  <si>
    <t>ส่วนต่างจากการรวมธุรกิจภายใต้การควบคุมเดียวกัน</t>
  </si>
  <si>
    <t>ส่วนเกินจากการเปลี่ยนแปลง</t>
  </si>
  <si>
    <t xml:space="preserve">   สัดส่วนการลงทุน/ส่วนได้เสียในบริษัทย่อย</t>
  </si>
  <si>
    <t>กำไรสะสม</t>
  </si>
  <si>
    <t xml:space="preserve">   จัดสรรแล้ว</t>
  </si>
  <si>
    <t xml:space="preserve">      ทุนสำรองตามกฎหมาย</t>
  </si>
  <si>
    <t xml:space="preserve">   ยังไม่ได้จัดสรร</t>
  </si>
  <si>
    <t>องค์ประกอบอื่นของส่วนของผู้ถือหุ้น</t>
  </si>
  <si>
    <t>รวมส่วนของบริษัทใหญ่</t>
  </si>
  <si>
    <t>ส่วนได้เสียที่ไม่มีอำนาจควบคุม</t>
  </si>
  <si>
    <t>รวมส่วนของผู้ถือหุ้น</t>
  </si>
  <si>
    <t>รวมหนี้สินและส่วนของผู้ถือหุ้น</t>
  </si>
  <si>
    <t xml:space="preserve">งบกำไรขาดทุนเบ็ดเสร็จ </t>
  </si>
  <si>
    <t>สำหรับปีสิ้นสุดวันที่ 31 ธันวาคม</t>
  </si>
  <si>
    <t>รายได้</t>
  </si>
  <si>
    <t>รายได้จากการขายและบริการ</t>
  </si>
  <si>
    <t>5, 16</t>
  </si>
  <si>
    <t>รายได้ตามสัญญาเช่าภายใต้สัญญาซื้อขายไฟฟ้า</t>
  </si>
  <si>
    <t>รายได้ค่าก่อสร้างตามสัญญาสัมปทาน</t>
  </si>
  <si>
    <t>16, 24</t>
  </si>
  <si>
    <t>รายได้ค่าบริหารจัดการ</t>
  </si>
  <si>
    <t>ต้นทุนขายและบริการ</t>
  </si>
  <si>
    <t>5, 17</t>
  </si>
  <si>
    <t>ต้นทุนค่าก่อสร้างตามสัญญาสัมปทาน</t>
  </si>
  <si>
    <t>17, 24</t>
  </si>
  <si>
    <t>ต้นทุนค่าบริหารจัดการ</t>
  </si>
  <si>
    <t>กำไรขั้นต้น</t>
  </si>
  <si>
    <t>ดอกเบี้ยรับ</t>
  </si>
  <si>
    <t>รายได้อื่น</t>
  </si>
  <si>
    <t>4, 5, 9</t>
  </si>
  <si>
    <t>เงินปันผลรับ</t>
  </si>
  <si>
    <t>ค่าใช้จ่ายในการบริหาร</t>
  </si>
  <si>
    <t>ขาดทุนจากอัตราแลกเปลี่ยนสุทธิ</t>
  </si>
  <si>
    <t>กำไรจากกิจกรรมดำเนินงาน</t>
  </si>
  <si>
    <t>ส่วนแบ่งกำไรจากบริษัทร่วมและการร่วมค้า</t>
  </si>
  <si>
    <t>ต้นทุนทางการเงิน</t>
  </si>
  <si>
    <t>กำไรก่อนภาษีเงินได้</t>
  </si>
  <si>
    <t>รายได้ (ค่าใช้จ่าย) ภาษีเงินได้</t>
  </si>
  <si>
    <t>กำไรสำหรับปี</t>
  </si>
  <si>
    <t xml:space="preserve">กำไร (ขาดทุน) เบ็ดเสร็จอื่น </t>
  </si>
  <si>
    <t>รายการที่อาจถูกจัดประเภทใหม่ไว้</t>
  </si>
  <si>
    <t xml:space="preserve">   ในกำไรหรือขาดทุนในภายหลัง</t>
  </si>
  <si>
    <t>ผลต่างของอัตราแลกเปลี่ยนจากการแปลงค่างบการเงิน</t>
  </si>
  <si>
    <t>ผลกำไร (ขาดทุน) จากการป้องกันความเสี่ยงกระแสเงินสด</t>
  </si>
  <si>
    <t>ผลกำไรจากการขายเงินลงทุนในตราสารหนี้</t>
  </si>
  <si>
    <t xml:space="preserve">   ที่กำหนดให้วัดมูลค่าด้วยมูลค่ายุติธรรม</t>
  </si>
  <si>
    <t xml:space="preserve">   ผ่านกำไร (ขาดทุน) เบ็ดเสร็จอื่น</t>
  </si>
  <si>
    <t>ผลกำไรจากเงินลงทุนในตราสารหนี้</t>
  </si>
  <si>
    <t>ส่วนแบ่งกำไร (ขาดทุน) เบ็ดเสร็จอื่นของ</t>
  </si>
  <si>
    <t xml:space="preserve">   บริษัทร่วมและการร่วมค้า</t>
  </si>
  <si>
    <t>รวมรายการที่อาจถูกจัดประเภทใหม่</t>
  </si>
  <si>
    <t xml:space="preserve">   ไว้ในกำไรหรือขาดทุนในภายหลัง</t>
  </si>
  <si>
    <t>รายการที่จะไม่ถูกจัดประเภทใหม่ไว้</t>
  </si>
  <si>
    <t>ผลกำไรจากการขายเงินลงทุนในตราสารทุน</t>
  </si>
  <si>
    <t>ผลขาดทุนจากเงินลงทุนในตราสารทุน</t>
  </si>
  <si>
    <t>ผลขาดทุนจากการวัดมูลค่าใหม่</t>
  </si>
  <si>
    <t xml:space="preserve">   ของผลประโยชน์พนักงานที่กำหนดไว้</t>
  </si>
  <si>
    <t>รวมรายการที่จะไม่ถูกจัดประเภทใหม่</t>
  </si>
  <si>
    <t>กำไร (ขาดทุน) เบ็ดเสร็จอื่นสำหรับปี - สุทธิจากภาษี</t>
  </si>
  <si>
    <t>กำไร (ขาดทุน) เบ็ดเสร็จรวมสำหรับปี</t>
  </si>
  <si>
    <t>การแบ่งปันกำไร</t>
  </si>
  <si>
    <t xml:space="preserve">    ส่วนที่เป็นของบริษัทใหญ่</t>
  </si>
  <si>
    <t xml:space="preserve">    ส่วนที่เป็นของส่วนได้เสียที่ไม่มีอำนาจควบคุม</t>
  </si>
  <si>
    <t xml:space="preserve">กำไรสำหรับปี </t>
  </si>
  <si>
    <t>การแบ่งปันกำไร (ขาดทุน) เบ็ดเสร็จรวม</t>
  </si>
  <si>
    <t>กำไรต่อหุ้นขั้นพื้นฐาน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</si>
</sst>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#,##0\ ;\(#,##0\)"/>
    <numFmt numFmtId="167" formatCode="_(* #,##0.000_);_(* \(#,##0.000\);_(* &quot;-&quot;??_);_(@_)"/>
    <numFmt numFmtId="168" formatCode="_-* #,##0_-;\-* #,##0_-;_-* &quot;-&quot;??_-;_-@_-"/>
    <numFmt numFmtId="169" formatCode="_(* #,##0.00000000_);_(* \(#,##0.00000000\);_(* &quot;-&quot;??_);_(@_)"/>
    <numFmt numFmtId="170" formatCode="#,##0.00;\(#,##0.00\)"/>
    <numFmt numFmtId="171" formatCode="_(* #,##0.0000_);_(* \(#,##0.0000\);_(* &quot;-&quot;??_);_(@_)"/>
    <numFmt numFmtId="172" formatCode="#,##0.00\ ;\(#,##0.00\)"/>
    <numFmt numFmtId="173" formatCode="[$-107041E]d\ mmmm\ yyyy;@"/>
    <numFmt numFmtId="174" formatCode="[$-D00041E]0"/>
    <numFmt numFmtId="175" formatCode="_-&quot;£&quot;* #,##0.00_-;\-&quot;£&quot;* #,##0.00_-;_-&quot;£&quot;* &quot;-&quot;??_-;_-@_-"/>
  </numFmts>
  <fonts count="56">
    <font>
      <sz val="15"/>
      <name val="Angsana New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name val="Angsana New"/>
      <family val="1"/>
    </font>
    <font>
      <b/>
      <sz val="16"/>
      <name val="Angsana New"/>
      <family val="1"/>
    </font>
    <font>
      <sz val="16"/>
      <name val="CordiaUPC"/>
      <family val="2"/>
    </font>
    <font>
      <b/>
      <i/>
      <sz val="16"/>
      <name val="Angsana New"/>
      <family val="1"/>
    </font>
    <font>
      <b/>
      <sz val="15"/>
      <name val="Angsana New"/>
      <family val="1"/>
    </font>
    <font>
      <i/>
      <sz val="15"/>
      <name val="Angsana New"/>
      <family val="1"/>
    </font>
    <font>
      <sz val="11"/>
      <name val="Angsana New"/>
      <family val="1"/>
    </font>
    <font>
      <i/>
      <sz val="11"/>
      <name val="Angsana New"/>
      <family val="1"/>
    </font>
    <font>
      <b/>
      <i/>
      <sz val="15"/>
      <name val="Angsana New"/>
      <family val="1"/>
    </font>
    <font>
      <u/>
      <sz val="15"/>
      <name val="Angsana New"/>
      <family val="1"/>
    </font>
    <font>
      <sz val="16"/>
      <name val="Angsana New"/>
      <family val="1"/>
    </font>
    <font>
      <i/>
      <sz val="16"/>
      <name val="Angsana New"/>
      <family val="1"/>
    </font>
    <font>
      <sz val="16"/>
      <name val="Times New Roman"/>
      <family val="1"/>
    </font>
    <font>
      <sz val="11"/>
      <color indexed="8"/>
      <name val="Tahoma"/>
      <family val="2"/>
    </font>
    <font>
      <sz val="10"/>
      <name val="Arial"/>
      <family val="2"/>
    </font>
    <font>
      <i/>
      <sz val="11"/>
      <color rgb="FF7F7F7F"/>
      <name val="Calibri"/>
      <family val="2"/>
      <charset val="22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u/>
      <sz val="10"/>
      <color theme="10"/>
      <name val="Arial"/>
      <family val="2"/>
    </font>
    <font>
      <sz val="14"/>
      <name val="Cordia New"/>
      <family val="2"/>
    </font>
    <font>
      <sz val="9"/>
      <name val="Times New Roman"/>
      <family val="1"/>
    </font>
    <font>
      <b/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4"/>
      <name val="Browallia New"/>
      <family val="2"/>
      <charset val="222"/>
    </font>
    <font>
      <sz val="10"/>
      <color theme="1"/>
      <name val="Arial Unicode MS"/>
      <family val="2"/>
    </font>
    <font>
      <sz val="15"/>
      <color rgb="FF0070C0"/>
      <name val="Angsana New"/>
      <family val="1"/>
    </font>
    <font>
      <i/>
      <sz val="15"/>
      <color rgb="FFFF0000"/>
      <name val="Angsana New"/>
      <family val="1"/>
    </font>
    <font>
      <sz val="11"/>
      <name val="Times New Roman"/>
      <family val="1"/>
    </font>
    <font>
      <sz val="10"/>
      <name val="Tahoma"/>
      <family val="2"/>
    </font>
    <font>
      <sz val="14"/>
      <name val="AngsanaUPC"/>
      <family val="1"/>
    </font>
    <font>
      <b/>
      <sz val="16"/>
      <color rgb="FF0070C0"/>
      <name val="Angsana New"/>
      <family val="1"/>
    </font>
  </fonts>
  <fills count="3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68">
    <xf numFmtId="0" fontId="0" fillId="0" borderId="0"/>
    <xf numFmtId="43" fontId="14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43" fontId="25" fillId="0" borderId="0" applyFont="0" applyFill="0" applyBorder="0" applyAlignment="0" applyProtection="0"/>
    <xf numFmtId="43" fontId="11" fillId="0" borderId="0" applyFont="0" applyFill="0" applyBorder="0" applyAlignment="0" applyProtection="0"/>
    <xf numFmtId="173" fontId="12" fillId="0" borderId="0"/>
    <xf numFmtId="43" fontId="26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0" fillId="0" borderId="0"/>
    <xf numFmtId="43" fontId="10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3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10" fillId="0" borderId="0"/>
    <xf numFmtId="0" fontId="10" fillId="0" borderId="0"/>
    <xf numFmtId="0" fontId="29" fillId="2" borderId="0" applyNumberFormat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/>
    <xf numFmtId="0" fontId="30" fillId="0" borderId="0"/>
    <xf numFmtId="0" fontId="30" fillId="0" borderId="0"/>
    <xf numFmtId="174" fontId="32" fillId="0" borderId="0"/>
    <xf numFmtId="174" fontId="26" fillId="0" borderId="0"/>
    <xf numFmtId="43" fontId="26" fillId="0" borderId="0" applyNumberFormat="0" applyFill="0" applyBorder="0" applyAlignment="0" applyProtection="0"/>
    <xf numFmtId="174" fontId="31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9" fontId="33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26" fillId="0" borderId="0"/>
    <xf numFmtId="0" fontId="26" fillId="0" borderId="0"/>
    <xf numFmtId="0" fontId="34" fillId="0" borderId="0" applyNumberFormat="0" applyFill="0" applyBorder="0" applyAlignment="0" applyProtection="0"/>
    <xf numFmtId="0" fontId="35" fillId="0" borderId="6" applyNumberFormat="0" applyFill="0" applyAlignment="0" applyProtection="0"/>
    <xf numFmtId="0" fontId="36" fillId="0" borderId="7" applyNumberFormat="0" applyFill="0" applyAlignment="0" applyProtection="0"/>
    <xf numFmtId="0" fontId="37" fillId="0" borderId="8" applyNumberFormat="0" applyFill="0" applyAlignment="0" applyProtection="0"/>
    <xf numFmtId="0" fontId="37" fillId="0" borderId="0" applyNumberFormat="0" applyFill="0" applyBorder="0" applyAlignment="0" applyProtection="0"/>
    <xf numFmtId="0" fontId="38" fillId="3" borderId="0" applyNumberFormat="0" applyBorder="0" applyAlignment="0" applyProtection="0"/>
    <xf numFmtId="0" fontId="39" fillId="4" borderId="0" applyNumberFormat="0" applyBorder="0" applyAlignment="0" applyProtection="0"/>
    <xf numFmtId="0" fontId="40" fillId="5" borderId="0" applyNumberFormat="0" applyBorder="0" applyAlignment="0" applyProtection="0"/>
    <xf numFmtId="0" fontId="41" fillId="6" borderId="9" applyNumberFormat="0" applyAlignment="0" applyProtection="0"/>
    <xf numFmtId="0" fontId="42" fillId="7" borderId="10" applyNumberFormat="0" applyAlignment="0" applyProtection="0"/>
    <xf numFmtId="0" fontId="43" fillId="7" borderId="9" applyNumberFormat="0" applyAlignment="0" applyProtection="0"/>
    <xf numFmtId="0" fontId="44" fillId="0" borderId="11" applyNumberFormat="0" applyFill="0" applyAlignment="0" applyProtection="0"/>
    <xf numFmtId="0" fontId="45" fillId="8" borderId="12" applyNumberFormat="0" applyAlignment="0" applyProtection="0"/>
    <xf numFmtId="0" fontId="46" fillId="0" borderId="0" applyNumberFormat="0" applyFill="0" applyBorder="0" applyAlignment="0" applyProtection="0"/>
    <xf numFmtId="0" fontId="30" fillId="9" borderId="13" applyNumberFormat="0" applyFont="0" applyAlignment="0" applyProtection="0"/>
    <xf numFmtId="0" fontId="47" fillId="0" borderId="14" applyNumberFormat="0" applyFill="0" applyAlignment="0" applyProtection="0"/>
    <xf numFmtId="0" fontId="29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29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9" borderId="0" applyNumberFormat="0" applyBorder="0" applyAlignment="0" applyProtection="0"/>
    <xf numFmtId="0" fontId="30" fillId="30" borderId="0" applyNumberFormat="0" applyBorder="0" applyAlignment="0" applyProtection="0"/>
    <xf numFmtId="0" fontId="30" fillId="31" borderId="0" applyNumberFormat="0" applyBorder="0" applyAlignment="0" applyProtection="0"/>
    <xf numFmtId="0" fontId="29" fillId="32" borderId="0" applyNumberFormat="0" applyBorder="0" applyAlignment="0" applyProtection="0"/>
    <xf numFmtId="0" fontId="26" fillId="0" borderId="0"/>
    <xf numFmtId="164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26" fillId="0" borderId="0"/>
    <xf numFmtId="0" fontId="48" fillId="0" borderId="0"/>
    <xf numFmtId="9" fontId="8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49" fillId="0" borderId="0"/>
    <xf numFmtId="0" fontId="26" fillId="0" borderId="0"/>
    <xf numFmtId="164" fontId="26" fillId="0" borderId="0" applyFont="0" applyFill="0" applyBorder="0" applyAlignment="0" applyProtection="0"/>
    <xf numFmtId="0" fontId="26" fillId="0" borderId="0"/>
    <xf numFmtId="0" fontId="30" fillId="0" borderId="0"/>
    <xf numFmtId="0" fontId="48" fillId="0" borderId="0"/>
    <xf numFmtId="0" fontId="30" fillId="0" borderId="0"/>
    <xf numFmtId="43" fontId="30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/>
    <xf numFmtId="43" fontId="49" fillId="0" borderId="0" applyFont="0" applyFill="0" applyBorder="0" applyAlignment="0" applyProtection="0"/>
    <xf numFmtId="0" fontId="30" fillId="0" borderId="0"/>
    <xf numFmtId="0" fontId="26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2" fillId="0" borderId="0" applyFont="0" applyFill="0" applyBorder="0" applyAlignment="0" applyProtection="0"/>
    <xf numFmtId="0" fontId="12" fillId="0" borderId="0"/>
    <xf numFmtId="0" fontId="5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2" fillId="0" borderId="0"/>
    <xf numFmtId="0" fontId="2" fillId="0" borderId="0"/>
    <xf numFmtId="0" fontId="2" fillId="0" borderId="0"/>
    <xf numFmtId="0" fontId="53" fillId="0" borderId="0"/>
    <xf numFmtId="0" fontId="1" fillId="0" borderId="0"/>
    <xf numFmtId="0" fontId="28" fillId="0" borderId="0"/>
    <xf numFmtId="43" fontId="1" fillId="0" borderId="0" applyFont="0" applyFill="0" applyBorder="0" applyAlignment="0" applyProtection="0"/>
    <xf numFmtId="0" fontId="1" fillId="0" borderId="0"/>
    <xf numFmtId="0" fontId="54" fillId="0" borderId="0"/>
  </cellStyleXfs>
  <cellXfs count="141">
    <xf numFmtId="0" fontId="0" fillId="0" borderId="0" xfId="0"/>
    <xf numFmtId="0" fontId="13" fillId="0" borderId="0" xfId="0" applyFont="1" applyAlignment="1">
      <alignment horizontal="left"/>
    </xf>
    <xf numFmtId="165" fontId="12" fillId="0" borderId="0" xfId="1" applyNumberFormat="1" applyFont="1" applyFill="1"/>
    <xf numFmtId="0" fontId="12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8" fillId="0" borderId="0" xfId="0" applyNumberFormat="1" applyFont="1" applyAlignment="1">
      <alignment horizontal="center"/>
    </xf>
    <xf numFmtId="0" fontId="13" fillId="0" borderId="0" xfId="0" applyFont="1"/>
    <xf numFmtId="165" fontId="16" fillId="0" borderId="0" xfId="1" applyNumberFormat="1" applyFont="1" applyFill="1"/>
    <xf numFmtId="49" fontId="19" fillId="0" borderId="0" xfId="0" applyNumberFormat="1" applyFont="1" applyAlignment="1">
      <alignment horizontal="center"/>
    </xf>
    <xf numFmtId="43" fontId="21" fillId="0" borderId="0" xfId="0" applyNumberFormat="1" applyFont="1" applyAlignment="1">
      <alignment horizontal="center"/>
    </xf>
    <xf numFmtId="165" fontId="20" fillId="0" borderId="0" xfId="1" applyNumberFormat="1" applyFont="1" applyFill="1"/>
    <xf numFmtId="165" fontId="12" fillId="0" borderId="0" xfId="1" applyNumberFormat="1" applyFont="1" applyFill="1" applyAlignment="1">
      <alignment horizontal="right"/>
    </xf>
    <xf numFmtId="37" fontId="12" fillId="0" borderId="0" xfId="0" applyNumberFormat="1" applyFont="1" applyAlignment="1">
      <alignment horizontal="right"/>
    </xf>
    <xf numFmtId="43" fontId="22" fillId="0" borderId="0" xfId="1" applyFont="1" applyFill="1" applyAlignment="1">
      <alignment horizontal="right"/>
    </xf>
    <xf numFmtId="43" fontId="22" fillId="0" borderId="0" xfId="1" applyFont="1" applyFill="1"/>
    <xf numFmtId="43" fontId="12" fillId="0" borderId="0" xfId="1" applyFont="1" applyFill="1" applyAlignment="1">
      <alignment horizontal="right"/>
    </xf>
    <xf numFmtId="165" fontId="17" fillId="0" borderId="0" xfId="1" applyNumberFormat="1" applyFont="1" applyFill="1" applyAlignment="1">
      <alignment horizontal="left"/>
    </xf>
    <xf numFmtId="165" fontId="12" fillId="0" borderId="0" xfId="1" applyNumberFormat="1" applyFont="1" applyFill="1" applyBorder="1"/>
    <xf numFmtId="9" fontId="12" fillId="0" borderId="0" xfId="2" applyFont="1" applyFill="1" applyBorder="1"/>
    <xf numFmtId="0" fontId="16" fillId="0" borderId="0" xfId="0" applyFont="1"/>
    <xf numFmtId="0" fontId="20" fillId="0" borderId="0" xfId="0" applyFont="1" applyAlignment="1">
      <alignment horizontal="center"/>
    </xf>
    <xf numFmtId="165" fontId="16" fillId="0" borderId="1" xfId="1" applyNumberFormat="1" applyFont="1" applyFill="1" applyBorder="1"/>
    <xf numFmtId="165" fontId="16" fillId="0" borderId="0" xfId="1" applyNumberFormat="1" applyFont="1" applyFill="1" applyBorder="1"/>
    <xf numFmtId="43" fontId="22" fillId="0" borderId="0" xfId="1" applyFont="1" applyFill="1" applyBorder="1"/>
    <xf numFmtId="166" fontId="18" fillId="0" borderId="0" xfId="0" applyNumberFormat="1" applyFont="1"/>
    <xf numFmtId="165" fontId="17" fillId="0" borderId="0" xfId="1" applyNumberFormat="1" applyFont="1" applyFill="1" applyBorder="1"/>
    <xf numFmtId="43" fontId="12" fillId="0" borderId="0" xfId="1" applyFont="1" applyFill="1" applyBorder="1" applyAlignment="1">
      <alignment horizontal="center"/>
    </xf>
    <xf numFmtId="165" fontId="12" fillId="0" borderId="0" xfId="1" applyNumberFormat="1" applyFont="1" applyFill="1" applyBorder="1" applyAlignment="1">
      <alignment horizontal="center"/>
    </xf>
    <xf numFmtId="43" fontId="12" fillId="0" borderId="0" xfId="1" applyFont="1" applyFill="1" applyBorder="1"/>
    <xf numFmtId="165" fontId="17" fillId="0" borderId="0" xfId="1" applyNumberFormat="1" applyFont="1" applyFill="1" applyBorder="1" applyAlignment="1">
      <alignment horizontal="left"/>
    </xf>
    <xf numFmtId="165" fontId="12" fillId="0" borderId="0" xfId="1" applyNumberFormat="1" applyFont="1" applyFill="1" applyBorder="1" applyAlignment="1">
      <alignment horizontal="right"/>
    </xf>
    <xf numFmtId="37" fontId="12" fillId="0" borderId="0" xfId="0" applyNumberFormat="1" applyFont="1"/>
    <xf numFmtId="165" fontId="12" fillId="0" borderId="0" xfId="0" applyNumberFormat="1" applyFont="1"/>
    <xf numFmtId="37" fontId="16" fillId="0" borderId="1" xfId="0" applyNumberFormat="1" applyFont="1" applyBorder="1"/>
    <xf numFmtId="37" fontId="16" fillId="0" borderId="0" xfId="0" applyNumberFormat="1" applyFont="1"/>
    <xf numFmtId="165" fontId="16" fillId="0" borderId="2" xfId="1" applyNumberFormat="1" applyFont="1" applyFill="1" applyBorder="1"/>
    <xf numFmtId="167" fontId="16" fillId="0" borderId="0" xfId="1" applyNumberFormat="1" applyFont="1" applyFill="1"/>
    <xf numFmtId="39" fontId="12" fillId="0" borderId="0" xfId="0" applyNumberFormat="1" applyFont="1"/>
    <xf numFmtId="165" fontId="16" fillId="0" borderId="0" xfId="1" applyNumberFormat="1" applyFont="1" applyFill="1" applyAlignment="1">
      <alignment horizontal="left"/>
    </xf>
    <xf numFmtId="0" fontId="13" fillId="0" borderId="0" xfId="0" applyFont="1" applyAlignment="1">
      <alignment vertical="center"/>
    </xf>
    <xf numFmtId="49" fontId="19" fillId="0" borderId="0" xfId="0" applyNumberFormat="1" applyFont="1"/>
    <xf numFmtId="0" fontId="18" fillId="0" borderId="0" xfId="0" applyFont="1"/>
    <xf numFmtId="41" fontId="12" fillId="0" borderId="0" xfId="1" applyNumberFormat="1" applyFont="1" applyFill="1" applyBorder="1"/>
    <xf numFmtId="41" fontId="12" fillId="0" borderId="0" xfId="1" applyNumberFormat="1" applyFont="1" applyFill="1"/>
    <xf numFmtId="43" fontId="22" fillId="0" borderId="0" xfId="1" applyFont="1" applyFill="1" applyBorder="1" applyAlignment="1">
      <alignment horizontal="center"/>
    </xf>
    <xf numFmtId="41" fontId="12" fillId="0" borderId="0" xfId="0" applyNumberFormat="1" applyFont="1"/>
    <xf numFmtId="43" fontId="23" fillId="0" borderId="0" xfId="1" applyFont="1" applyFill="1" applyBorder="1" applyAlignment="1"/>
    <xf numFmtId="43" fontId="12" fillId="0" borderId="0" xfId="1" applyFont="1" applyFill="1"/>
    <xf numFmtId="168" fontId="18" fillId="0" borderId="0" xfId="1" applyNumberFormat="1" applyFont="1" applyFill="1" applyBorder="1"/>
    <xf numFmtId="43" fontId="16" fillId="0" borderId="0" xfId="1" applyFont="1" applyFill="1"/>
    <xf numFmtId="165" fontId="16" fillId="0" borderId="3" xfId="1" applyNumberFormat="1" applyFont="1" applyFill="1" applyBorder="1"/>
    <xf numFmtId="37" fontId="12" fillId="0" borderId="2" xfId="0" applyNumberFormat="1" applyFont="1" applyBorder="1"/>
    <xf numFmtId="43" fontId="13" fillId="0" borderId="0" xfId="1" applyFont="1" applyFill="1"/>
    <xf numFmtId="37" fontId="12" fillId="0" borderId="0" xfId="1" applyNumberFormat="1" applyFont="1" applyFill="1" applyBorder="1"/>
    <xf numFmtId="0" fontId="12" fillId="0" borderId="0" xfId="1" applyNumberFormat="1" applyFont="1" applyFill="1"/>
    <xf numFmtId="165" fontId="16" fillId="0" borderId="4" xfId="1" applyNumberFormat="1" applyFont="1" applyFill="1" applyBorder="1"/>
    <xf numFmtId="165" fontId="16" fillId="0" borderId="4" xfId="0" applyNumberFormat="1" applyFont="1" applyBorder="1"/>
    <xf numFmtId="165" fontId="16" fillId="0" borderId="0" xfId="0" applyNumberFormat="1" applyFont="1"/>
    <xf numFmtId="165" fontId="12" fillId="0" borderId="3" xfId="1" applyNumberFormat="1" applyFont="1" applyFill="1" applyBorder="1"/>
    <xf numFmtId="165" fontId="16" fillId="0" borderId="2" xfId="0" applyNumberFormat="1" applyFont="1" applyBorder="1"/>
    <xf numFmtId="169" fontId="12" fillId="0" borderId="0" xfId="1" applyNumberFormat="1" applyFont="1" applyFill="1" applyBorder="1"/>
    <xf numFmtId="40" fontId="12" fillId="0" borderId="0" xfId="0" applyNumberFormat="1" applyFont="1"/>
    <xf numFmtId="170" fontId="12" fillId="0" borderId="0" xfId="0" applyNumberFormat="1" applyFont="1"/>
    <xf numFmtId="43" fontId="24" fillId="0" borderId="0" xfId="1" applyFont="1" applyFill="1" applyBorder="1"/>
    <xf numFmtId="43" fontId="13" fillId="0" borderId="0" xfId="1" applyFont="1" applyFill="1" applyAlignment="1">
      <alignment horizontal="center"/>
    </xf>
    <xf numFmtId="0" fontId="16" fillId="0" borderId="0" xfId="3" applyFont="1"/>
    <xf numFmtId="0" fontId="12" fillId="0" borderId="0" xfId="3" applyFont="1"/>
    <xf numFmtId="0" fontId="13" fillId="0" borderId="0" xfId="3" applyFont="1"/>
    <xf numFmtId="0" fontId="20" fillId="0" borderId="0" xfId="3" applyFont="1" applyAlignment="1">
      <alignment horizontal="center"/>
    </xf>
    <xf numFmtId="0" fontId="17" fillId="0" borderId="0" xfId="3" applyFont="1" applyAlignment="1">
      <alignment horizontal="center"/>
    </xf>
    <xf numFmtId="165" fontId="12" fillId="0" borderId="0" xfId="3" applyNumberFormat="1" applyFont="1"/>
    <xf numFmtId="165" fontId="12" fillId="0" borderId="3" xfId="1" applyNumberFormat="1" applyFont="1" applyFill="1" applyBorder="1" applyAlignment="1">
      <alignment horizontal="center"/>
    </xf>
    <xf numFmtId="165" fontId="16" fillId="0" borderId="0" xfId="1" applyNumberFormat="1" applyFont="1" applyFill="1" applyBorder="1" applyAlignment="1">
      <alignment horizontal="center"/>
    </xf>
    <xf numFmtId="165" fontId="16" fillId="0" borderId="0" xfId="3" applyNumberFormat="1" applyFont="1"/>
    <xf numFmtId="43" fontId="12" fillId="0" borderId="0" xfId="3" applyNumberFormat="1" applyFont="1"/>
    <xf numFmtId="43" fontId="16" fillId="0" borderId="0" xfId="3" applyNumberFormat="1" applyFont="1"/>
    <xf numFmtId="165" fontId="16" fillId="0" borderId="4" xfId="1" applyNumberFormat="1" applyFont="1" applyFill="1" applyBorder="1" applyAlignment="1">
      <alignment horizontal="center"/>
    </xf>
    <xf numFmtId="10" fontId="12" fillId="0" borderId="0" xfId="2" applyNumberFormat="1" applyFont="1" applyFill="1"/>
    <xf numFmtId="165" fontId="16" fillId="0" borderId="5" xfId="1" applyNumberFormat="1" applyFont="1" applyFill="1" applyBorder="1"/>
    <xf numFmtId="9" fontId="12" fillId="0" borderId="0" xfId="2" applyFont="1" applyFill="1"/>
    <xf numFmtId="165" fontId="12" fillId="0" borderId="0" xfId="1" applyNumberFormat="1" applyFont="1" applyFill="1" applyAlignment="1">
      <alignment horizontal="center"/>
    </xf>
    <xf numFmtId="165" fontId="16" fillId="0" borderId="3" xfId="1" applyNumberFormat="1" applyFont="1" applyFill="1" applyBorder="1" applyAlignment="1">
      <alignment horizontal="center"/>
    </xf>
    <xf numFmtId="165" fontId="12" fillId="0" borderId="3" xfId="1" applyNumberFormat="1" applyFont="1" applyFill="1" applyBorder="1" applyAlignment="1">
      <alignment horizontal="right"/>
    </xf>
    <xf numFmtId="165" fontId="16" fillId="0" borderId="1" xfId="1" applyNumberFormat="1" applyFont="1" applyFill="1" applyBorder="1" applyAlignment="1">
      <alignment horizontal="right"/>
    </xf>
    <xf numFmtId="165" fontId="16" fillId="0" borderId="0" xfId="1" applyNumberFormat="1" applyFont="1" applyFill="1" applyBorder="1" applyAlignment="1">
      <alignment horizontal="right"/>
    </xf>
    <xf numFmtId="37" fontId="12" fillId="0" borderId="0" xfId="3" applyNumberFormat="1" applyFont="1"/>
    <xf numFmtId="43" fontId="12" fillId="0" borderId="0" xfId="0" applyNumberFormat="1" applyFont="1"/>
    <xf numFmtId="171" fontId="12" fillId="0" borderId="0" xfId="1" applyNumberFormat="1" applyFont="1" applyFill="1"/>
    <xf numFmtId="39" fontId="16" fillId="0" borderId="0" xfId="0" applyNumberFormat="1" applyFont="1"/>
    <xf numFmtId="43" fontId="16" fillId="0" borderId="2" xfId="0" quotePrefix="1" applyNumberFormat="1" applyFont="1" applyBorder="1" applyAlignment="1">
      <alignment horizontal="right"/>
    </xf>
    <xf numFmtId="172" fontId="16" fillId="0" borderId="0" xfId="0" applyNumberFormat="1" applyFont="1"/>
    <xf numFmtId="172" fontId="16" fillId="0" borderId="2" xfId="0" applyNumberFormat="1" applyFont="1" applyBorder="1"/>
    <xf numFmtId="40" fontId="12" fillId="0" borderId="0" xfId="3" applyNumberFormat="1" applyFont="1"/>
    <xf numFmtId="0" fontId="16" fillId="0" borderId="0" xfId="3" applyFont="1" applyAlignment="1">
      <alignment horizontal="center"/>
    </xf>
    <xf numFmtId="43" fontId="16" fillId="0" borderId="0" xfId="1" applyFont="1"/>
    <xf numFmtId="165" fontId="0" fillId="0" borderId="0" xfId="1" applyNumberFormat="1" applyFont="1" applyFill="1"/>
    <xf numFmtId="165" fontId="12" fillId="0" borderId="0" xfId="1" applyNumberFormat="1" applyFont="1" applyAlignment="1">
      <alignment horizontal="right"/>
    </xf>
    <xf numFmtId="0" fontId="13" fillId="0" borderId="0" xfId="3" applyFont="1" applyAlignment="1">
      <alignment horizontal="center"/>
    </xf>
    <xf numFmtId="43" fontId="12" fillId="0" borderId="0" xfId="1" applyFont="1"/>
    <xf numFmtId="0" fontId="12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0" fillId="0" borderId="0" xfId="0" applyAlignment="1">
      <alignment horizontal="center"/>
    </xf>
    <xf numFmtId="165" fontId="12" fillId="0" borderId="2" xfId="1" applyNumberFormat="1" applyFont="1" applyFill="1" applyBorder="1"/>
    <xf numFmtId="0" fontId="0" fillId="0" borderId="0" xfId="0" applyAlignment="1">
      <alignment vertical="top"/>
    </xf>
    <xf numFmtId="165" fontId="12" fillId="0" borderId="0" xfId="1" applyNumberFormat="1" applyFont="1"/>
    <xf numFmtId="165" fontId="50" fillId="0" borderId="0" xfId="1" applyNumberFormat="1" applyFont="1" applyFill="1" applyAlignment="1">
      <alignment horizontal="left"/>
    </xf>
    <xf numFmtId="165" fontId="0" fillId="0" borderId="3" xfId="1" applyNumberFormat="1" applyFont="1" applyFill="1" applyBorder="1" applyAlignment="1">
      <alignment horizontal="center"/>
    </xf>
    <xf numFmtId="165" fontId="0" fillId="0" borderId="0" xfId="1" applyNumberFormat="1" applyFont="1" applyFill="1" applyBorder="1"/>
    <xf numFmtId="0" fontId="51" fillId="0" borderId="0" xfId="0" applyFont="1" applyAlignment="1">
      <alignment horizontal="center"/>
    </xf>
    <xf numFmtId="37" fontId="0" fillId="0" borderId="0" xfId="0" applyNumberFormat="1" applyAlignment="1">
      <alignment horizontal="right"/>
    </xf>
    <xf numFmtId="165" fontId="0" fillId="0" borderId="0" xfId="1" applyNumberFormat="1" applyFont="1" applyFill="1" applyAlignment="1">
      <alignment horizontal="right"/>
    </xf>
    <xf numFmtId="43" fontId="0" fillId="0" borderId="0" xfId="1" applyFont="1" applyFill="1" applyAlignment="1">
      <alignment horizontal="right"/>
    </xf>
    <xf numFmtId="165" fontId="16" fillId="0" borderId="1" xfId="1" applyNumberFormat="1" applyFont="1" applyBorder="1"/>
    <xf numFmtId="43" fontId="0" fillId="0" borderId="0" xfId="1" applyFont="1" applyFill="1"/>
    <xf numFmtId="0" fontId="55" fillId="0" borderId="0" xfId="0" applyFont="1" applyAlignment="1">
      <alignment horizontal="left"/>
    </xf>
    <xf numFmtId="0" fontId="12" fillId="0" borderId="0" xfId="0" quotePrefix="1" applyFont="1" applyAlignment="1">
      <alignment horizontal="left" vertical="top"/>
    </xf>
    <xf numFmtId="0" fontId="0" fillId="0" borderId="0" xfId="0" quotePrefix="1" applyAlignment="1">
      <alignment horizontal="left" vertical="top"/>
    </xf>
    <xf numFmtId="0" fontId="20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3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20" fillId="0" borderId="0" xfId="3" applyFont="1" applyAlignment="1">
      <alignment vertical="top"/>
    </xf>
    <xf numFmtId="0" fontId="0" fillId="0" borderId="0" xfId="3" applyFont="1" applyAlignment="1">
      <alignment vertical="top"/>
    </xf>
    <xf numFmtId="0" fontId="12" fillId="0" borderId="0" xfId="3" applyFont="1" applyAlignment="1">
      <alignment vertical="top"/>
    </xf>
    <xf numFmtId="0" fontId="16" fillId="0" borderId="0" xfId="3" applyFont="1" applyAlignment="1">
      <alignment vertical="top"/>
    </xf>
    <xf numFmtId="0" fontId="16" fillId="0" borderId="0" xfId="3" applyFont="1" applyAlignment="1">
      <alignment horizontal="left" vertical="top"/>
    </xf>
    <xf numFmtId="0" fontId="0" fillId="0" borderId="0" xfId="3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7" fillId="0" borderId="0" xfId="3" applyFont="1" applyAlignment="1">
      <alignment horizontal="center"/>
    </xf>
    <xf numFmtId="0" fontId="16" fillId="0" borderId="0" xfId="3" applyFont="1" applyAlignment="1">
      <alignment horizontal="center"/>
    </xf>
    <xf numFmtId="49" fontId="12" fillId="0" borderId="0" xfId="4" applyNumberFormat="1" applyFont="1" applyFill="1" applyBorder="1" applyAlignment="1">
      <alignment horizontal="center" vertical="top" wrapText="1"/>
    </xf>
  </cellXfs>
  <cellStyles count="168">
    <cellStyle name="20% - Accent1 2" xfId="60" xr:uid="{972DC312-AAA5-4BD9-ACDC-B4D505A994A7}"/>
    <cellStyle name="20% - Accent2 2" xfId="64" xr:uid="{6508CB70-2114-4125-9E9E-62821B4BA20B}"/>
    <cellStyle name="20% - Accent3 2" xfId="68" xr:uid="{38875444-0425-470B-BB37-9F7B038F4D88}"/>
    <cellStyle name="20% - Accent4 2" xfId="71" xr:uid="{A3E0685E-97E4-4FEF-A749-2C88056DF9E7}"/>
    <cellStyle name="20% - Accent5 2" xfId="75" xr:uid="{A2A6E6B7-CBEE-4072-B431-8F4C0BB65FD7}"/>
    <cellStyle name="20% - Accent6 2" xfId="79" xr:uid="{CA111C3F-A604-44C0-97CD-B0CCACBDB548}"/>
    <cellStyle name="40% - Accent1 2" xfId="61" xr:uid="{551F32C7-15AE-4A43-9DA8-570374C39594}"/>
    <cellStyle name="40% - Accent2 2" xfId="65" xr:uid="{4561FFFC-5FF5-420A-8D0F-8E3D7A4464E7}"/>
    <cellStyle name="40% - Accent3 2" xfId="69" xr:uid="{AD6715FC-10EF-4AB7-865A-0291332673B1}"/>
    <cellStyle name="40% - Accent4 2" xfId="72" xr:uid="{E00D96EE-363F-4BE4-97FA-4A48E40E1376}"/>
    <cellStyle name="40% - Accent5 2" xfId="76" xr:uid="{CA1C0897-8E70-4AFA-A6F7-821905A9D9A9}"/>
    <cellStyle name="40% - Accent6 2" xfId="80" xr:uid="{8556B7DB-47DF-4361-8410-C5E71AA613B2}"/>
    <cellStyle name="60% - Accent1 2" xfId="62" xr:uid="{69A689C9-9AB0-45EA-B68F-75B3193CA003}"/>
    <cellStyle name="60% - Accent2 2" xfId="66" xr:uid="{EE0882C6-EA58-4D86-9339-2A8C5C5794F6}"/>
    <cellStyle name="60% - Accent3 2" xfId="20" xr:uid="{58CA22F0-DA17-4704-B9EC-E9BA2EBCCD11}"/>
    <cellStyle name="60% - Accent4 2" xfId="73" xr:uid="{D46EA402-400E-4E8F-B64E-30DCCF9C8457}"/>
    <cellStyle name="60% - Accent5 2" xfId="77" xr:uid="{6955A0A4-F0F8-4B4A-B7D2-4BE78C9B82D7}"/>
    <cellStyle name="60% - Accent6 2" xfId="81" xr:uid="{EDA660A8-8DC7-48A3-97D1-3559329794FD}"/>
    <cellStyle name="Accent1 2" xfId="59" xr:uid="{A2DDD5DC-254A-4867-B893-BD4B9CF811A9}"/>
    <cellStyle name="Accent2 2" xfId="63" xr:uid="{7EE46CC1-2922-4587-85D2-7DB65900F613}"/>
    <cellStyle name="Accent3 2" xfId="67" xr:uid="{F5B6EE5F-CEC3-425F-B244-F1CB543FEF04}"/>
    <cellStyle name="Accent4 2" xfId="70" xr:uid="{31082E71-848F-4121-9F9E-D15F2DBA92F4}"/>
    <cellStyle name="Accent5 2" xfId="74" xr:uid="{2103F1BD-58E4-4941-8824-EDE98A85C5F2}"/>
    <cellStyle name="Accent6 2" xfId="78" xr:uid="{533D4F81-6022-4804-A732-A8748D179484}"/>
    <cellStyle name="Bad 2" xfId="49" xr:uid="{B18F324E-581F-4437-803C-78103C95C30C}"/>
    <cellStyle name="Calculation 2" xfId="53" xr:uid="{8B5089C3-5790-4AAA-B536-8AF17CEA94B9}"/>
    <cellStyle name="Check Cell 2" xfId="55" xr:uid="{B7F8886E-4125-4B90-8492-919828188E30}"/>
    <cellStyle name="Comma" xfId="1" builtinId="3"/>
    <cellStyle name="Comma 10" xfId="165" xr:uid="{209B0745-7F04-4A6D-A1BE-887285AEC2C4}"/>
    <cellStyle name="Comma 10 8" xfId="104" xr:uid="{AD534EEC-CF87-4B75-8C48-F97B8BD0CF7A}"/>
    <cellStyle name="Comma 15 3" xfId="4" xr:uid="{C2624731-CB3D-4D35-8A40-28A0C4880468}"/>
    <cellStyle name="Comma 19" xfId="29" xr:uid="{2A0B67DF-1373-4EC8-9D7F-C08E8464A486}"/>
    <cellStyle name="Comma 19 2" xfId="93" xr:uid="{31B04BD2-4A5B-4D83-B8CF-E958F1749EDA}"/>
    <cellStyle name="Comma 199" xfId="21" xr:uid="{BC9BF7A5-6CE7-4A1F-8545-186AA5CC8EC9}"/>
    <cellStyle name="Comma 199 2" xfId="120" xr:uid="{14CBDC39-0DBF-4A54-9E6C-FDBB734B5F19}"/>
    <cellStyle name="Comma 199 3" xfId="143" xr:uid="{81BBCF03-A3CA-4EE6-819A-6CBEF37F37AC}"/>
    <cellStyle name="Comma 2" xfId="7" xr:uid="{F658A857-47C8-4DCD-B66A-A831E6293D07}"/>
    <cellStyle name="Comma 2 2" xfId="40" xr:uid="{338D901A-4D55-4031-9938-BD35E21A9DB8}"/>
    <cellStyle name="Comma 2 2 2" xfId="152" xr:uid="{082AB14E-65AD-46E9-BA0C-C7C43EA5248C}"/>
    <cellStyle name="Comma 2 3" xfId="87" xr:uid="{8434409E-383F-475F-B4E1-4715DC4AE506}"/>
    <cellStyle name="Comma 2 3 2" xfId="131" xr:uid="{BAFEFB2B-99DC-4482-8046-4387139BBF66}"/>
    <cellStyle name="Comma 2 4" xfId="102" xr:uid="{CB150A72-D1B6-404A-845F-558F9C68E4AF}"/>
    <cellStyle name="Comma 2 5" xfId="108" xr:uid="{FE600C73-56A9-49BF-A6C4-B6233C141029}"/>
    <cellStyle name="Comma 2 5 2" xfId="135" xr:uid="{73C4A023-F65E-40FF-A4D7-672A46C889FA}"/>
    <cellStyle name="Comma 3" xfId="16" xr:uid="{D41256E4-F307-4E1E-A176-2BA68BFD11E1}"/>
    <cellStyle name="Comma 3 2" xfId="83" xr:uid="{D8DE3550-A069-4816-95E2-7C39A96FB9EF}"/>
    <cellStyle name="Comma 3 2 2" xfId="127" xr:uid="{E8D8CF3D-2440-4E18-B0C0-B29DB07C5E78}"/>
    <cellStyle name="Comma 3 3" xfId="38" xr:uid="{008B24F6-49FB-4443-A6A5-DE1EDFCF49F5}"/>
    <cellStyle name="Comma 4" xfId="5" xr:uid="{8C82DA50-ECCD-4D3F-8F10-2ACE919C4A01}"/>
    <cellStyle name="Comma 4 2" xfId="12" xr:uid="{A734D8C4-9FB6-42D1-80FB-3BBAF3EADDA7}"/>
    <cellStyle name="Comma 4 2 2" xfId="96" xr:uid="{64C8D1F5-3747-4D77-81A2-8E9D1CD9FF08}"/>
    <cellStyle name="Comma 4 2 3" xfId="115" xr:uid="{97151A41-115D-4243-9A64-ABD5EA99D7A0}"/>
    <cellStyle name="Comma 4 3" xfId="25" xr:uid="{7AD85C2A-3144-4887-A037-8083BAC8547D}"/>
    <cellStyle name="Comma 4 3 2" xfId="124" xr:uid="{0D8D8B98-3D92-4386-9E14-2B0A60AD5111}"/>
    <cellStyle name="Comma 4 4" xfId="89" xr:uid="{115E339A-6B10-4115-B18E-8FDFE56E0AA0}"/>
    <cellStyle name="Comma 4 5" xfId="111" xr:uid="{0E418BFB-369B-4841-88AF-172D0CC8372C}"/>
    <cellStyle name="Comma 4 6" xfId="138" xr:uid="{597768AD-CCDB-4A85-9EE3-7CCB873E6B3A}"/>
    <cellStyle name="Comma 4 7" xfId="146" xr:uid="{C0D426D8-44EC-4BD6-ACE1-DC7DCB54F21F}"/>
    <cellStyle name="Comma 4 8" xfId="158" xr:uid="{4F9223BF-CBA7-41D8-B496-63A20225574F}"/>
    <cellStyle name="Comma 5" xfId="14" xr:uid="{E204D4A7-11CA-4842-B1F9-91E1C7378DDB}"/>
    <cellStyle name="Comma 5 2" xfId="101" xr:uid="{984B54EE-3062-42A3-8B57-E50692067206}"/>
    <cellStyle name="Comma 5 3" xfId="116" xr:uid="{A7500D44-2F8F-4725-9894-1475C1EAFBB4}"/>
    <cellStyle name="Comma 5 4" xfId="139" xr:uid="{29393B8A-17A6-461E-B7CA-80F08A5B97F8}"/>
    <cellStyle name="Comma 6" xfId="27" xr:uid="{F770715B-91BD-46A1-AA09-58B50C637942}"/>
    <cellStyle name="Comma 6 2" xfId="126" xr:uid="{182D1BBA-8F23-4CAD-9788-1F294F033F8A}"/>
    <cellStyle name="Comma 7" xfId="150" xr:uid="{25DA90A1-DC39-4931-8D2E-28A88BA465F0}"/>
    <cellStyle name="Comma 8" xfId="156" xr:uid="{DDC3513C-A7F7-4D7F-9474-A3898ADF9589}"/>
    <cellStyle name="Comma 8 4" xfId="145" xr:uid="{AD930B8B-DE0B-4570-BAF1-4CCD6150F83B}"/>
    <cellStyle name="Comma 9" xfId="36" xr:uid="{5AE26C38-2717-4057-8189-FD52166E6F76}"/>
    <cellStyle name="Currency 2" xfId="84" xr:uid="{4E03B0C7-D273-4DB2-9C98-85D93DB9578D}"/>
    <cellStyle name="Currency 2 2" xfId="128" xr:uid="{D32CD10C-5E2D-4A4E-8B25-D5B863F50C2E}"/>
    <cellStyle name="Explanatory Text 2" xfId="13" xr:uid="{4244872B-D2D7-4AFE-B429-DAE70A3AC604}"/>
    <cellStyle name="Good 2" xfId="48" xr:uid="{D814CE16-5668-403B-8818-FF73DF234C61}"/>
    <cellStyle name="Heading 1 2" xfId="44" xr:uid="{048FFF37-B502-4430-8E2D-72EAD7E7CEBF}"/>
    <cellStyle name="Heading 2 2" xfId="45" xr:uid="{12BE55F6-8C56-49EB-BCDD-DF0288D75ED9}"/>
    <cellStyle name="Heading 3 2" xfId="46" xr:uid="{341387BF-D4AD-4A7B-B301-00C727D8BE1B}"/>
    <cellStyle name="Heading 4 2" xfId="47" xr:uid="{87EAFFFE-B847-48D9-A447-2125927A7A95}"/>
    <cellStyle name="Hyperlink 2" xfId="37" xr:uid="{50E43989-69B1-4C4E-A9F2-34488F9CF693}"/>
    <cellStyle name="Input 2" xfId="51" xr:uid="{4FA47386-36E2-479F-BBFE-5C2764E8E9F7}"/>
    <cellStyle name="Linked Cell 2" xfId="54" xr:uid="{9C219421-A41F-4D9D-A7BE-0DE36ED3663F}"/>
    <cellStyle name="Neutral 2" xfId="50" xr:uid="{7FA2D644-0262-4AD6-9D0E-06BDCE95928F}"/>
    <cellStyle name="Normal" xfId="0" builtinId="0"/>
    <cellStyle name="Normal 10" xfId="100" xr:uid="{17EC1BC2-171D-45A8-954F-6DDCD88E42EE}"/>
    <cellStyle name="Normal 100" xfId="162" xr:uid="{90C0EFA2-9F14-4BC3-BA0C-AA19E19B167A}"/>
    <cellStyle name="Normal 11" xfId="105" xr:uid="{F17B327E-9F78-486A-A27D-A0FA4DC3465E}"/>
    <cellStyle name="Normal 12" xfId="26" xr:uid="{88ADBD67-3342-48D5-909E-4D714F6D980F}"/>
    <cellStyle name="Normal 12 2" xfId="125" xr:uid="{F28FFB72-161F-4074-8162-A0395993701D}"/>
    <cellStyle name="Normal 13" xfId="149" xr:uid="{94F3EAD6-E47C-4C9F-93A7-298A09B50C27}"/>
    <cellStyle name="Normal 14" xfId="155" xr:uid="{FD7B12BB-FC2C-4BC7-9DC0-FC1BECFB2EBD}"/>
    <cellStyle name="Normal 15" xfId="163" xr:uid="{A164DA60-855A-4D1F-ABB1-8836035C0F1A}"/>
    <cellStyle name="Normal 152" xfId="94" xr:uid="{0354225F-7B44-460A-9AA1-6610D663CF3E}"/>
    <cellStyle name="Normal 177" xfId="18" xr:uid="{DEFA7872-DB83-483F-BCC6-685BBA721EEC}"/>
    <cellStyle name="Normal 177 2" xfId="107" xr:uid="{DE05FF64-D400-4ED7-81CD-F253808542D4}"/>
    <cellStyle name="Normal 177 2 2" xfId="134" xr:uid="{A49C309B-A208-46AD-82AE-74BF244B473F}"/>
    <cellStyle name="Normal 177 3" xfId="118" xr:uid="{F350758C-AE73-44D5-ABA2-C6D34F1B8820}"/>
    <cellStyle name="Normal 177 4" xfId="141" xr:uid="{E462C865-963B-4EE4-B32A-35FD35E8B7EB}"/>
    <cellStyle name="Normal 2" xfId="3" xr:uid="{E3531B82-F3FA-4599-85BC-04C388AD104B}"/>
    <cellStyle name="Normal 2 10" xfId="157" xr:uid="{BEDFE6B5-D178-470F-9098-FB9A845E0CE6}"/>
    <cellStyle name="Normal 2 16 2" xfId="8" xr:uid="{EE17080B-50F1-4022-8502-E2046DB3674D}"/>
    <cellStyle name="Normal 2 16 2 2" xfId="112" xr:uid="{B1AF096D-75CD-4D1A-8103-D6DFBD30D3D3}"/>
    <cellStyle name="Normal 2 16 2 3" xfId="160" xr:uid="{04FBEF20-8933-4142-BC28-EACA99F35129}"/>
    <cellStyle name="Normal 2 2" xfId="33" xr:uid="{AAEADAB4-3C07-46A2-A201-618E45BE82A9}"/>
    <cellStyle name="Normal 2 2 2" xfId="82" xr:uid="{AF31F272-7FA4-41B3-B05F-7B31709517D2}"/>
    <cellStyle name="Normal 2 2 3" xfId="153" xr:uid="{CE39B8F2-061A-4E6B-A64F-40B2A770C459}"/>
    <cellStyle name="Normal 2 3" xfId="41" xr:uid="{124E5A0F-82ED-405E-A5E4-F9F7772DD035}"/>
    <cellStyle name="Normal 2 4" xfId="99" xr:uid="{BA435678-38B0-4304-A4E4-C63D23EEC9EA}"/>
    <cellStyle name="Normal 2 5" xfId="103" xr:uid="{A705C600-C605-48B4-BB6F-B83EB46ED1E4}"/>
    <cellStyle name="Normal 2 6" xfId="32" xr:uid="{4DC7D2B7-1004-4BB9-9746-852B5328E7CD}"/>
    <cellStyle name="Normal 2 7" xfId="110" xr:uid="{E7DD2515-B021-43B6-ADC5-746A01A784E0}"/>
    <cellStyle name="Normal 2 8" xfId="148" xr:uid="{7E127F1F-EED1-468D-8BB7-935605CE5420}"/>
    <cellStyle name="Normal 2 9" xfId="151" xr:uid="{8024F14A-90F3-4607-BA21-73F3E4AC245E}"/>
    <cellStyle name="Normal 3" xfId="34" xr:uid="{CDD27166-D457-4468-9BB6-C47577EDBD74}"/>
    <cellStyle name="Normal 3 2" xfId="85" xr:uid="{417C192C-30FC-4AE3-AA15-FB4AF77B3109}"/>
    <cellStyle name="Normal 3 2 2" xfId="129" xr:uid="{101925FE-D5C7-4066-AAC3-A870E54EB9FD}"/>
    <cellStyle name="Normal 3 2 3" xfId="164" xr:uid="{131DEED5-C11F-40BC-91BB-507B1765EBE0}"/>
    <cellStyle name="Normal 3 2 4 2" xfId="10" xr:uid="{A75E3A26-760B-49F3-BDA5-ECC410B18796}"/>
    <cellStyle name="Normal 3 2 4 2 2" xfId="113" xr:uid="{676A5F0A-2DC0-4323-AEB5-35BB2A975637}"/>
    <cellStyle name="Normal 3 2 4 2 3" xfId="161" xr:uid="{49905919-6216-47AA-9B32-051B90E94A16}"/>
    <cellStyle name="Normal 3 3" xfId="154" xr:uid="{0DF04C7E-2C08-41A8-A0FA-8C2CC316FD9E}"/>
    <cellStyle name="Normal 3 5" xfId="22" xr:uid="{AFED515E-5095-4BD2-B32E-7F4071734241}"/>
    <cellStyle name="Normal 3 5 2" xfId="24" xr:uid="{96680C15-0D3D-465C-902C-AC3A65000162}"/>
    <cellStyle name="Normal 3 5 2 2" xfId="123" xr:uid="{71F50B30-54B4-46CA-BB3C-B6D0224514FF}"/>
    <cellStyle name="Normal 3 5 3" xfId="121" xr:uid="{D41F2A10-B34B-41C7-84A7-D595A403C14F}"/>
    <cellStyle name="Normal 3 5 4" xfId="147" xr:uid="{D98781A0-DC27-4F4B-A5F5-8A79BE3D1C61}"/>
    <cellStyle name="Normal 3 5 5" xfId="167" xr:uid="{C241E11C-450C-4F26-B8D9-F527DD054D36}"/>
    <cellStyle name="Normal 4" xfId="9" xr:uid="{34327BAF-FF42-4846-B045-E508C5A4D858}"/>
    <cellStyle name="Normal 4 2" xfId="86" xr:uid="{713EAB98-75C7-4D17-B2C7-3A7016796AA0}"/>
    <cellStyle name="Normal 4 2 2" xfId="130" xr:uid="{DA3E6F97-22A5-4E9F-947F-39EC214783CA}"/>
    <cellStyle name="Normal 4 2 2 2" xfId="159" xr:uid="{6FDEC6F8-1AF0-4613-B46C-9FBB9EEA2DBC}"/>
    <cellStyle name="Normal 4 3" xfId="35" xr:uid="{C73ADBE0-F82C-4A79-A703-8E0ED61745F1}"/>
    <cellStyle name="Normal 5" xfId="11" xr:uid="{5EAD9400-503D-45BB-A9C1-BF0F468041C3}"/>
    <cellStyle name="Normal 5 2" xfId="23" xr:uid="{0D996B76-68B3-404F-B120-D85AED5A55BC}"/>
    <cellStyle name="Normal 5 2 2" xfId="122" xr:uid="{E0B15F88-6B4A-403C-8B93-D1660A13F925}"/>
    <cellStyle name="Normal 5 2 3" xfId="166" xr:uid="{5F445E6C-0787-4726-BB50-A0D3DC8E813C}"/>
    <cellStyle name="Normal 5 3" xfId="19" xr:uid="{022FB7BB-AD89-47C6-B319-7E564CF8ACC4}"/>
    <cellStyle name="Normal 5 3 2" xfId="119" xr:uid="{7E162146-DABE-48B4-AC25-B71E0C6B3112}"/>
    <cellStyle name="Normal 5 3 3" xfId="142" xr:uid="{B23098C5-310D-4B36-8BBA-1A1C149F8FD0}"/>
    <cellStyle name="Normal 5 4" xfId="109" xr:uid="{5FF5023D-2FEF-4D7B-AF00-7F1433284F89}"/>
    <cellStyle name="Normal 5 4 2" xfId="136" xr:uid="{083EBA7A-ED68-4C3A-A8A1-3EE26E383637}"/>
    <cellStyle name="Normal 5 5" xfId="28" xr:uid="{A465C08F-08E5-45C4-8BE2-A2000721D49D}"/>
    <cellStyle name="Normal 5 6" xfId="114" xr:uid="{EC70DA81-75EF-41F2-BFDF-8F2B3D444B36}"/>
    <cellStyle name="Normal 5 7" xfId="137" xr:uid="{EFBDE560-AC20-4337-9CD9-00C5B290F316}"/>
    <cellStyle name="Normal 5 8" xfId="144" xr:uid="{504ECCA4-1548-415A-8321-C320E7DF2052}"/>
    <cellStyle name="Normal 6" xfId="42" xr:uid="{F516C2AD-E56F-4131-B096-75126D7C64B6}"/>
    <cellStyle name="Normal 6 2" xfId="95" xr:uid="{62D4CBD2-C051-4B27-A64C-3295A076DD9C}"/>
    <cellStyle name="Normal 7" xfId="90" xr:uid="{381FF395-3D72-4039-BF05-5FAF73F18149}"/>
    <cellStyle name="Normal 7 2" xfId="97" xr:uid="{4E9C937E-1343-4A54-8A51-EEA747A8EFB8}"/>
    <cellStyle name="Normal 8" xfId="31" xr:uid="{97CD0F23-AD88-4710-A433-C61B52A56C8A}"/>
    <cellStyle name="Normal 8 13" xfId="106" xr:uid="{89C00A49-869F-4F2B-8EF8-3670AABC90CC}"/>
    <cellStyle name="Normal 9" xfId="98" xr:uid="{EE4DD13D-49F8-4975-8D4A-9F34CA9E70DD}"/>
    <cellStyle name="Normal 95" xfId="91" xr:uid="{EC13359A-716A-4905-A1F8-9510D03B8263}"/>
    <cellStyle name="Note 2" xfId="57" xr:uid="{EEA302CC-8447-445B-AD0A-8FF8AA05B9C5}"/>
    <cellStyle name="Output 2" xfId="52" xr:uid="{4A366383-B019-4B37-AE9E-4B0304C0667E}"/>
    <cellStyle name="Percent" xfId="2" builtinId="5"/>
    <cellStyle name="Percent 2" xfId="17" xr:uid="{71C32933-5285-455C-8152-970E7A021ADE}"/>
    <cellStyle name="Percent 2 2" xfId="30" xr:uid="{A150C703-FF0E-4A0F-9755-DFC7B96CF7A9}"/>
    <cellStyle name="Percent 3" xfId="15" xr:uid="{BE999E9D-E082-4513-842E-DB2577BA542A}"/>
    <cellStyle name="Percent 3 2" xfId="39" xr:uid="{1EBA9D17-A4EB-4BE0-8451-7A6A614A458A}"/>
    <cellStyle name="Percent 3 2 2" xfId="88" xr:uid="{802B8EE5-C36D-4C68-B41A-9C64E304B823}"/>
    <cellStyle name="Percent 3 2 2 2" xfId="132" xr:uid="{6D99245B-8ACA-4072-AF8D-CE0062EABBF4}"/>
    <cellStyle name="Percent 3 3" xfId="117" xr:uid="{5D7B174B-FFEA-48D0-9AC1-6DDFBA4D0DC9}"/>
    <cellStyle name="Percent 3 4" xfId="140" xr:uid="{572DAE3A-73C6-4692-ADE7-6C32727404C2}"/>
    <cellStyle name="Percent 4" xfId="92" xr:uid="{BE7D12CB-4BEF-45D3-9872-4C0FFFFD06C1}"/>
    <cellStyle name="Percent 4 2" xfId="133" xr:uid="{AC45E7C3-8CD8-4E36-A23B-3B5104AE358B}"/>
    <cellStyle name="Title 2" xfId="43" xr:uid="{F8ED698D-DDF0-4EA7-ADB1-7EDADDE5A071}"/>
    <cellStyle name="Total 2" xfId="58" xr:uid="{5C7143E2-17D9-4975-AC9B-52D711A64AC6}"/>
    <cellStyle name="Warning Text 2" xfId="56" xr:uid="{0F6D4597-2A5E-4737-81CD-A5421C96EE11}"/>
    <cellStyle name="ปกติ_2009 Q1 PTT UT - TH (26-may-09)" xfId="6" xr:uid="{150472D7-3AE7-490A-8244-792A3DE5818B}"/>
  </cellStyles>
  <dxfs count="0"/>
  <tableStyles count="0" defaultTableStyle="TableStyleMedium2" defaultPivotStyle="PivotStyleLight16"/>
  <colors>
    <mruColors>
      <color rgb="FFC9F7F6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itkanereng-xp\My%20Documents\WINDOWS\Temporary%20Internet%20Files\Content.IE5\D0WRDD4X\DATA\POO\DATA_MO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ambo\Share%20MA\My%20Documents\Management%20report\2003\Product%20Lineup\My%20Documents\CSC&amp;Lox\BCG\F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ICOM\DATA\SHARE.AC\LT1998\EST9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S_SSA\Documents%20and%20Settings\natdhida\My%20Documents\Nat\Tu\Old_Data\V-Document\Details\D-2003-Q2\06\Share.ma\Audit_Q1'01\CONSO\ShenConsoQ1'2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nida\mgt%20report&amp;b\WINDOWS\Desktop\tem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ICOM\DATA\Share.ma\Package\Template\31RIS0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ulfgroup-my.sharepoint.com/personal/pitchaporn_ha_gulf_co_th/Documents/Desktop/GULF_FS%20Report_2312_BEL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ICOM\DATA\share.int\SHENINGTON\Q3'2000\ShenConsoQ3'00-12-21p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ICOM\DATA\PERRY\CONTRACT\TPCON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AICOM\DATA\SHARE.FAD\Excom\2000\September\LTC\8Perform09'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are.ma\Audit_Q1'01\CONSO\ShenConsoQ1'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ambo\Share%20MA\My%20Documents\Management%20report\2003\Product%20Lineup\My%20Documents\CSC&amp;Lox\BCG\ssa_exist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natdhida\My%20Documents\Nat\Tu\Old_Data\V-Document\Details\D-2003-Q2\06\Share.ma\Audit_Q1'01\CONSO\ShenConsoQ1'20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AMBO\Share%20MA\jiraporn\Strategic%202004\Budget_&amp;BC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โครงสร้างราคา"/>
      <sheetName val="retail"/>
      <sheetName val="CRUDE-M"/>
      <sheetName val="CRUDE-D"/>
      <sheetName val="S'PORE-M"/>
      <sheetName val="S'PORE-D"/>
      <sheetName val="PO97(02)"/>
      <sheetName val="POSTF1"/>
      <sheetName val="POSTHD1"/>
      <sheetName val="POSTLP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"/>
      <sheetName val="FS"/>
      <sheetName val="Database"/>
      <sheetName val="IC Statement"/>
      <sheetName val="Income"/>
      <sheetName val="BS-TC"/>
      <sheetName val="PL-TC"/>
      <sheetName val="Index"/>
      <sheetName val="BG2018"/>
      <sheetName val="Accure"/>
      <sheetName val="Sheet1"/>
      <sheetName val="Total 01'05"/>
      <sheetName val="stat local"/>
      <sheetName val="発停サイクル表"/>
      <sheetName val="PR4"/>
      <sheetName val="IC_Statement"/>
      <sheetName val="J300 "/>
      <sheetName val="co"/>
      <sheetName val="WIP"/>
      <sheetName val="Identitas"/>
      <sheetName val="bblยังไม่จ่าย"/>
      <sheetName val="MOTO"/>
      <sheetName val="IC_Statement1"/>
      <sheetName val="stat_local"/>
      <sheetName val="Total_01'05"/>
      <sheetName val="J300_"/>
      <sheetName val="GROUPING"/>
      <sheetName val="ROOMS_ST"/>
      <sheetName val="TELEPHONE"/>
      <sheetName val="Data"/>
      <sheetName val="7)Fin Highlight (Q)"/>
      <sheetName val="TTL"/>
      <sheetName val="ชื่อหุ้น"/>
      <sheetName val="gVL"/>
      <sheetName val="เงินสำรองเกษียยณอายุ"/>
      <sheetName val="IC_Statement2"/>
      <sheetName val="J300_1"/>
      <sheetName val="stat_local1"/>
      <sheetName val="Total_01'051"/>
      <sheetName val="P&amp;L"/>
      <sheetName val="gl"/>
      <sheetName val="1257"/>
      <sheetName val="To Generate"/>
      <sheetName val="C101"/>
      <sheetName val="I101"/>
      <sheetName val="M101"/>
      <sheetName val="G101"/>
      <sheetName val="T101 "/>
      <sheetName val="TB"/>
      <sheetName val="00 - 01 Rates"/>
      <sheetName val="DFA"/>
      <sheetName val="far"/>
      <sheetName val="Sch 1-18"/>
      <sheetName val="FF-4"/>
      <sheetName val="FF-21(a)"/>
      <sheetName val="ca"/>
      <sheetName val="MFA"/>
      <sheetName val="O4 CA"/>
      <sheetName val="O2 TC"/>
      <sheetName val="ALLOWANCE'99"/>
      <sheetName val="CA Comp"/>
      <sheetName val="Company Info"/>
      <sheetName val="RATE"/>
      <sheetName val="Cash&amp;Bank - A"/>
      <sheetName val="CFlow2"/>
      <sheetName val="A3|1"/>
      <sheetName val="ADD"/>
      <sheetName val="SCH"/>
      <sheetName val="D"/>
      <sheetName val="Addition"/>
      <sheetName val="3-4"/>
      <sheetName val="FF-3"/>
      <sheetName val="O3"/>
      <sheetName val="O2"/>
      <sheetName val="BPR"/>
      <sheetName val="BP-CPX1"/>
      <sheetName val="Assumptions"/>
      <sheetName val="Operations"/>
      <sheetName val="Cashflow"/>
      <sheetName val="Financing"/>
      <sheetName val="Equity Analysis"/>
      <sheetName val="Traffic_revenue"/>
      <sheetName val="Depreciation"/>
      <sheetName val="FF-2"/>
      <sheetName val="n7-e"/>
      <sheetName val="TB 01"/>
      <sheetName val="TB 02"/>
      <sheetName val="inventory.qty.Dec"/>
      <sheetName val="Inventory Valuation Quantity"/>
      <sheetName val="C100"/>
      <sheetName val="DCF"/>
      <sheetName val="Cover"/>
      <sheetName val="Main"/>
      <sheetName val="Input"/>
      <sheetName val="IBA&amp;HP"/>
      <sheetName val="Inc&amp;Exp"/>
      <sheetName val="FA"/>
      <sheetName val="Aging_Report"/>
      <sheetName val="TB5"/>
      <sheetName val="B"/>
      <sheetName val="T101_"/>
      <sheetName val="O4_CA"/>
      <sheetName val="O2_TC"/>
      <sheetName val="CA_Comp"/>
      <sheetName val="Company_Info"/>
      <sheetName val="Cash&amp;Bank_-_A"/>
      <sheetName val="Equity_Analysis"/>
      <sheetName val="To_Generate"/>
      <sheetName val="00_-_01_Rates"/>
      <sheetName val="Sch_1-18"/>
      <sheetName val="IntDec00TespM&amp;B"/>
      <sheetName val="M_CT_OUT"/>
      <sheetName val="INCOME TAX PAYABLE"/>
      <sheetName val="TC"/>
      <sheetName val="FSL"/>
      <sheetName val="EAF"/>
      <sheetName val="Tariff"/>
      <sheetName val="04Carat"/>
      <sheetName val="EYAR"/>
      <sheetName val="sintesi per referenza"/>
      <sheetName val="A2-3"/>
      <sheetName val="EE97"/>
      <sheetName val="C101 Cash Lead"/>
      <sheetName val="K101 Fixed assets"/>
      <sheetName val="I101 Interco Balances OS"/>
      <sheetName val="G101 Other Receivables"/>
      <sheetName val="N101 Other Creditors "/>
      <sheetName val="T101 Share Capital and Reserves"/>
      <sheetName val="M101 Trade Creditors"/>
      <sheetName val="E101 Trade Receivables"/>
      <sheetName val="F100 WIP"/>
      <sheetName val="COA"/>
      <sheetName val="CA_new"/>
      <sheetName val="IND"/>
      <sheetName val="GRAPH"/>
      <sheetName val="T2-Stat review"/>
      <sheetName val="FSA"/>
      <sheetName val="FF-2 (1)"/>
      <sheetName val="Sch18-34"/>
      <sheetName val="O5"/>
      <sheetName val="5 Analysis"/>
      <sheetName val="13-CA"/>
      <sheetName val="APCODE"/>
      <sheetName val="T101_1"/>
      <sheetName val="O4_CA1"/>
      <sheetName val="O2_TC1"/>
      <sheetName val="CA_Comp1"/>
      <sheetName val="Company_Info1"/>
      <sheetName val="Cash&amp;Bank_-_A1"/>
      <sheetName val="Equity_Analysis1"/>
      <sheetName val="To_Generate1"/>
      <sheetName val="00_-_01_Rates1"/>
      <sheetName val="Sch_1-181"/>
      <sheetName val="TB_01"/>
      <sheetName val="TB_02"/>
      <sheetName val="inventory_qty_Dec"/>
      <sheetName val="Inventory_Valuation_Quantity"/>
      <sheetName val="INCOME_TAX_PAYABLE"/>
      <sheetName val="sintesi_per_referenza"/>
      <sheetName val="C101_Cash_Lead"/>
      <sheetName val="K101_Fixed_assets"/>
      <sheetName val="I101_Interco_Balances_OS"/>
      <sheetName val="G101_Other_Receivables"/>
      <sheetName val="N101_Other_Creditors_"/>
      <sheetName val="T101_Share_Capital_and_Reserves"/>
      <sheetName val="M101_Trade_Creditors"/>
      <sheetName val="E101_Trade_Receivables"/>
      <sheetName val="F100_WIP"/>
      <sheetName val="T2-Stat_review"/>
      <sheetName val="FF-2_(1)"/>
      <sheetName val="5_Analysis"/>
      <sheetName val="Summary Balance Sheet"/>
      <sheetName val="Assum-Driver"/>
      <sheetName val="Cases"/>
      <sheetName val="sumdepn01"/>
      <sheetName val="U110"/>
      <sheetName val="PD2"/>
      <sheetName val="CA-O7"/>
      <sheetName val="110"/>
      <sheetName val="CA Sum"/>
      <sheetName val="G301(01)"/>
      <sheetName val="BSWP"/>
      <sheetName val="MFGWP"/>
      <sheetName val="PNLWP"/>
      <sheetName val="hspmcashflow statment"/>
      <sheetName val="cashflow statement"/>
      <sheetName val="CF2006"/>
      <sheetName val="BALANCE SHEET"/>
      <sheetName val="Cost of goods sold"/>
      <sheetName val="BS-assets"/>
      <sheetName val="BS-E&amp;L"/>
      <sheetName val="(Pg1)PNLby function-12mths"/>
      <sheetName val="(Pg-2)PNLfunction"/>
      <sheetName val="(Pg-3)BSA"/>
      <sheetName val="(Pg-4)BSE"/>
      <sheetName val="(Pg-5)EQUITY "/>
      <sheetName val="IS1 "/>
      <sheetName val="IS2"/>
      <sheetName val="IS3"/>
      <sheetName val="PNL123WP"/>
      <sheetName val="Expenses"/>
      <sheetName val="BSA"/>
      <sheetName val="BSE"/>
      <sheetName val="PNLby function-12mths"/>
      <sheetName val="PNLfunction"/>
      <sheetName val="EQUITY "/>
      <sheetName val="IS1"/>
      <sheetName val="BSA (2)"/>
      <sheetName val="(Pg-3)BSABSE"/>
      <sheetName val="Summary"/>
      <sheetName val="FF-5"/>
      <sheetName val="MMIP(JU)"/>
      <sheetName val="F-1&amp;F-2"/>
      <sheetName val="JobDetails"/>
      <sheetName val="WPROXY"/>
      <sheetName val=""/>
      <sheetName val="Phase2 movementDEC"/>
      <sheetName val="Phase1f.a.DEC"/>
      <sheetName val="Phase2 f.a.DEC (2)"/>
      <sheetName val="FF-1"/>
      <sheetName val="Lookup"/>
      <sheetName val="H101 "/>
      <sheetName val="N101"/>
      <sheetName val="cf"/>
      <sheetName val="fa-c"/>
      <sheetName val="shCap"/>
      <sheetName val="Consol.Debt"/>
      <sheetName val="CAPEX SUM"/>
      <sheetName val="Main orig"/>
      <sheetName val="P&amp;L of Coy-dec2003-yrly"/>
      <sheetName val="P&amp;E-Feb 00"/>
      <sheetName val="InputVariables"/>
      <sheetName val="B_Sheet"/>
      <sheetName val="Notes"/>
      <sheetName val="TBal"/>
      <sheetName val="CC"/>
      <sheetName val="jun94"/>
      <sheetName val="K1-3"/>
      <sheetName val="Gain Loss Calculation"/>
      <sheetName val="Sls"/>
      <sheetName val="BB-11(CAR)"/>
      <sheetName val="BB-5(Fire)"/>
      <sheetName val="BB-13(liabilities)"/>
      <sheetName val="BB-10(Cargo)"/>
      <sheetName val="BB-9(Hull)"/>
      <sheetName val="BB-7(ACT)"/>
      <sheetName val="BB-6(MO)"/>
      <sheetName val="BB-14(other)"/>
      <sheetName val="BB-8(PA)"/>
      <sheetName val="BB-12(WC)"/>
      <sheetName val="Workings"/>
      <sheetName val="M-1 Nov"/>
      <sheetName val="itc"/>
      <sheetName val="DEC'09"/>
      <sheetName val="acs"/>
      <sheetName val="General Instructions"/>
      <sheetName val="Profile"/>
      <sheetName val="Control"/>
      <sheetName val="BS"/>
      <sheetName val="PL"/>
      <sheetName val="BS int1"/>
      <sheetName val="BS int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1A"/>
      <sheetName val="12"/>
      <sheetName val="13"/>
      <sheetName val="14"/>
      <sheetName val="14C"/>
      <sheetName val="14A"/>
      <sheetName val="15"/>
      <sheetName val="15C"/>
      <sheetName val="15A"/>
      <sheetName val="16"/>
      <sheetName val="16C"/>
      <sheetName val="16A"/>
      <sheetName val="17"/>
      <sheetName val="17C"/>
      <sheetName val="17A"/>
      <sheetName val="17AC"/>
      <sheetName val="17B"/>
      <sheetName val="18"/>
      <sheetName val="19"/>
      <sheetName val="20"/>
      <sheetName val="20C"/>
      <sheetName val="21"/>
      <sheetName val="21C"/>
      <sheetName val="22"/>
      <sheetName val="22C"/>
      <sheetName val="23"/>
      <sheetName val="24"/>
      <sheetName val="25"/>
      <sheetName val="25A"/>
      <sheetName val="26"/>
      <sheetName val="26C"/>
      <sheetName val="26A"/>
      <sheetName val="26AC"/>
      <sheetName val="27"/>
      <sheetName val="28"/>
      <sheetName val="28A"/>
      <sheetName val="29"/>
      <sheetName val="30"/>
      <sheetName val="31"/>
      <sheetName val="32"/>
      <sheetName val="32C"/>
      <sheetName val="32A"/>
      <sheetName val="33"/>
      <sheetName val="33C"/>
      <sheetName val="34"/>
      <sheetName val="35"/>
      <sheetName val="36"/>
      <sheetName val="37"/>
      <sheetName val="38"/>
      <sheetName val="38A"/>
      <sheetName val="39"/>
      <sheetName val="39A"/>
      <sheetName val="40"/>
      <sheetName val="41"/>
      <sheetName val="42"/>
      <sheetName val="42C"/>
      <sheetName val="43"/>
      <sheetName val="43C"/>
      <sheetName val="43A"/>
      <sheetName val="43AC"/>
      <sheetName val="45"/>
      <sheetName val="46"/>
      <sheetName val="47"/>
      <sheetName val="47C"/>
      <sheetName val="FF-50"/>
      <sheetName val="BUT-1"/>
      <sheetName val="HEX-A"/>
      <sheetName val="HEX-E"/>
      <sheetName val="I-BUT"/>
      <sheetName val="RD I-BUT"/>
      <sheetName val="2005-2034"/>
      <sheetName val="L-chart"/>
      <sheetName val="Income Stmnt"/>
      <sheetName val="FF-6"/>
      <sheetName val="2-3-50"/>
      <sheetName val="TrialBalance Q3-2002"/>
      <sheetName val="NEW LOCAL"/>
      <sheetName val="OUTSIDE MARKET"/>
      <sheetName val="LOCAL MARKET"/>
      <sheetName val="Trial Balance"/>
      <sheetName val="YQ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-dec95"/>
      <sheetName val="Sheet1"/>
      <sheetName val="Tp 1997"/>
      <sheetName val="memo"/>
      <sheetName val="Tp-คค 95-96domestic"/>
      <sheetName val="Tp-คค 95-96inter"/>
      <sheetName val="Tp-คค 95-96wt"/>
      <sheetName val="reconcile"/>
      <sheetName val="summary"/>
      <sheetName val="gl"/>
      <sheetName val="Cal-Mod"/>
      <sheetName val="Database"/>
      <sheetName val="Tp'96 (2)"/>
      <sheetName val="samart"/>
      <sheetName val="EST97"/>
      <sheetName val="Tp_1997"/>
      <sheetName val="Tp-คค_95-96domestic"/>
      <sheetName val="Tp-คค_95-96inter"/>
      <sheetName val="Tp-คค_95-96wt"/>
      <sheetName val="Tp'96_(2)"/>
      <sheetName val="TP-Contract (2)"/>
      <sheetName val="EST97.XLS"/>
      <sheetName val="\ANUWATS\21-10\SHARE.AC\LT1998\"/>
      <sheetName val="BS"/>
      <sheetName val="7)Fin Highlight (Q)"/>
      <sheetName val="BALANCE_SHEET_1"/>
      <sheetName val="Data"/>
      <sheetName val="Expenses &amp; Adj"/>
      <sheetName val="REPORT"/>
      <sheetName val="submit"/>
      <sheetName val="Cpsale"/>
      <sheetName val="Other adj"/>
      <sheetName val="PPR241"/>
      <sheetName val="SU"/>
      <sheetName val="acc"/>
      <sheetName val="A"/>
      <sheetName val="น้อง"/>
      <sheetName val="[EST97.XLS]\ANUWATS\21-10\SHARE"/>
      <sheetName val="MTP"/>
      <sheetName val="MTP1"/>
      <sheetName val="Consolidated"/>
      <sheetName val="COVER"/>
      <sheetName val="[EST97.XLS][EST97.XLS][EST97.XL"/>
      <sheetName val="Feb"/>
      <sheetName val="Mar"/>
      <sheetName val="Apr"/>
      <sheetName val="May"/>
      <sheetName val="Jan"/>
      <sheetName val="June"/>
      <sheetName val="MD_R"/>
      <sheetName val="CELL_A"/>
      <sheetName val="ENV_A"/>
      <sheetName val="PG_A"/>
      <sheetName val="MD_A"/>
      <sheetName val="QA&amp;R_A"/>
      <sheetName val="RMP_A"/>
      <sheetName val="RMZ_A"/>
      <sheetName val="JUNE1"/>
      <sheetName val="ENV_R"/>
      <sheetName val="PG_R"/>
      <sheetName val="CELL_R"/>
      <sheetName val="QA&amp;R_R"/>
      <sheetName val="RMP_R"/>
      <sheetName val="RMZ_R"/>
      <sheetName val="DealerData"/>
    </sheetNames>
    <definedNames>
      <definedName name="[Cal-Mod].Month_REV"/>
      <definedName name="[Cal-Mod].Quarter_rev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"/>
      <sheetName val="C_entry"/>
      <sheetName val="LTC_adj"/>
      <sheetName val="CAM_FS"/>
      <sheetName val="CAM_TB"/>
      <sheetName val="NOUSE"/>
      <sheetName val="NOTE"/>
      <sheetName val="Interco"/>
      <sheetName val="MMLoan"/>
      <sheetName val="MMAsst"/>
      <sheetName val="D_Asst"/>
      <sheetName val="ShenTBL"/>
      <sheetName val="LTC_BS"/>
      <sheetName val="LTC_PL"/>
      <sheetName val="Amort"/>
      <sheetName val="RATE"/>
      <sheetName val="GW"/>
      <sheetName val="ACcode"/>
      <sheetName val="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Index"/>
      <sheetName val="2.Conso CF"/>
      <sheetName val="2.1.PA CF"/>
      <sheetName val="3.Loans"/>
      <sheetName val="4.Conso PL"/>
      <sheetName val="4.2 Conso PL PA+Loxserv Only"/>
      <sheetName val="4.1 Share of Asso."/>
      <sheetName val="5.PA PL"/>
      <sheetName val="5.1.SAP Revenue"/>
      <sheetName val="5.2.SAPCost_Exp"/>
      <sheetName val="6. Loxserve PL"/>
      <sheetName val="7. Loxinfo PL"/>
      <sheetName val="8. PA_IDC PL"/>
      <sheetName val="9. Diamond Link PL"/>
      <sheetName val="10.Headcount"/>
      <sheetName val="11.Balance Sheet"/>
      <sheetName val="12.Graph"/>
      <sheetName val="13.LoxsvMovemnt"/>
      <sheetName val="13.1.LoxMovData"/>
      <sheetName val="5_PA PL"/>
      <sheetName val="Prod"/>
      <sheetName val="Base Rental"/>
      <sheetName val="temp"/>
      <sheetName val="10-1 Media"/>
      <sheetName val="10-cut"/>
      <sheetName val="Y2007"/>
      <sheetName val="1_Index"/>
      <sheetName val="2_Conso_CF"/>
      <sheetName val="2_1_PA_CF"/>
      <sheetName val="3_Loans"/>
      <sheetName val="4_Conso_PL"/>
      <sheetName val="4_2_Conso_PL_PA+Loxserv_Only"/>
      <sheetName val="4_1_Share_of_Asso_"/>
      <sheetName val="5_PA_PL"/>
      <sheetName val="5_1_SAP_Revenue"/>
      <sheetName val="5_2_SAPCost_Exp"/>
      <sheetName val="6__Loxserve_PL"/>
      <sheetName val="7__Loxinfo_PL"/>
      <sheetName val="8__PA_IDC_PL"/>
      <sheetName val="9__Diamond_Link_PL"/>
      <sheetName val="10_Headcount"/>
      <sheetName val="11_Balance_Sheet"/>
      <sheetName val="12_Graph"/>
      <sheetName val="13_LoxsvMovemnt"/>
      <sheetName val="13_1_LoxMovData"/>
      <sheetName val="5_PA_PL1"/>
      <sheetName val="Sheet1"/>
      <sheetName val="Base_Rental"/>
      <sheetName val="EST_OPERATING_ASSET"/>
      <sheetName val="BS_TB_EST"/>
      <sheetName val="J2"/>
      <sheetName val="N5-Input Direct Expenses"/>
      <sheetName val="P6-Output Expenses"/>
      <sheetName val="900010"/>
      <sheetName val="1_Index1"/>
      <sheetName val="2_Conso_CF1"/>
      <sheetName val="2_1_PA_CF1"/>
      <sheetName val="3_Loans1"/>
      <sheetName val="4_Conso_PL1"/>
      <sheetName val="4_2_Conso_PL_PA+Loxserv_Only1"/>
      <sheetName val="4_1_Share_of_Asso_1"/>
      <sheetName val="5_PA_PL2"/>
      <sheetName val="5_1_SAP_Revenue1"/>
      <sheetName val="5_2_SAPCost_Exp1"/>
      <sheetName val="6__Loxserve_PL1"/>
      <sheetName val="7__Loxinfo_PL1"/>
      <sheetName val="8__PA_IDC_PL1"/>
      <sheetName val="9__Diamond_Link_PL1"/>
      <sheetName val="10_Headcount1"/>
      <sheetName val="11_Balance_Sheet1"/>
      <sheetName val="12_Graph1"/>
      <sheetName val="13_LoxsvMovemnt1"/>
      <sheetName val="13_1_LoxMovData1"/>
      <sheetName val="5_PA_PL3"/>
      <sheetName val="billonpr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 checking sheet"/>
      <sheetName val="BASIC"/>
      <sheetName val="No.001-002"/>
      <sheetName val="No.003"/>
      <sheetName val="No.004"/>
      <sheetName val="No.005"/>
      <sheetName val="No.006"/>
      <sheetName val="No.007"/>
      <sheetName val="No.010"/>
      <sheetName val="No.015"/>
      <sheetName val="No.020"/>
      <sheetName val="No.021"/>
      <sheetName val="No.023"/>
      <sheetName val="No.027"/>
      <sheetName val="No.031"/>
      <sheetName val="No.040"/>
      <sheetName val="No.041"/>
      <sheetName val="No.042"/>
      <sheetName val="No.43"/>
      <sheetName val="No.050"/>
      <sheetName val="No.051"/>
      <sheetName val="No.056"/>
      <sheetName val="No.060"/>
      <sheetName val="No.061"/>
      <sheetName val="No.065"/>
      <sheetName val="No.070"/>
      <sheetName val="No.071"/>
      <sheetName val="No.072"/>
      <sheetName val="No.080"/>
      <sheetName val="No.090"/>
      <sheetName val="No.092"/>
      <sheetName val="No.093"/>
      <sheetName val="No.094"/>
      <sheetName val="No.099"/>
      <sheetName val="No.100"/>
      <sheetName val="No.100-(1)"/>
      <sheetName val="No.100-(2)"/>
      <sheetName val="No.105"/>
      <sheetName val="No.144"/>
      <sheetName val="No.146"/>
      <sheetName val="No.147"/>
      <sheetName val="The_checking_sheet"/>
      <sheetName val="No_001-002"/>
      <sheetName val="No_003"/>
      <sheetName val="No_004"/>
      <sheetName val="No_005"/>
      <sheetName val="No_006"/>
      <sheetName val="No_007"/>
      <sheetName val="No_010"/>
      <sheetName val="No_015"/>
      <sheetName val="No_020"/>
      <sheetName val="No_021"/>
      <sheetName val="No_023"/>
      <sheetName val="No_027"/>
      <sheetName val="No_031"/>
      <sheetName val="No_040"/>
      <sheetName val="No_041"/>
      <sheetName val="No_042"/>
      <sheetName val="No_43"/>
      <sheetName val="No_050"/>
      <sheetName val="No_051"/>
      <sheetName val="No_056"/>
      <sheetName val="No_060"/>
      <sheetName val="No_061"/>
      <sheetName val="No_065"/>
      <sheetName val="No_070"/>
      <sheetName val="No_071"/>
      <sheetName val="No_072"/>
      <sheetName val="No_080"/>
      <sheetName val="No_090"/>
      <sheetName val="No_092"/>
      <sheetName val="No_093"/>
      <sheetName val="No_094"/>
      <sheetName val="No_099"/>
      <sheetName val="No_100"/>
      <sheetName val="No_100-(1)"/>
      <sheetName val="No_100-(2)"/>
      <sheetName val="No_105"/>
      <sheetName val="No_144"/>
      <sheetName val="No_146"/>
      <sheetName val="No_147"/>
      <sheetName val="Link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"/>
      <sheetName val="List of Com"/>
      <sheetName val="0.Company"/>
      <sheetName val="Report &gt;&gt;"/>
      <sheetName val="1.BS"/>
      <sheetName val="2.PL"/>
      <sheetName val="3.EQ1"/>
      <sheetName val="4.CF"/>
      <sheetName val="CF Detail"/>
      <sheetName val="CF Diff"/>
      <sheetName val="3.EQ2"/>
      <sheetName val="5.RPT"/>
      <sheetName val="6.Cash"/>
      <sheetName val="7.InvSub"/>
      <sheetName val="8.InvAssoJV"/>
      <sheetName val="9.PPE"/>
      <sheetName val="10.GW"/>
      <sheetName val="11.Intang"/>
      <sheetName val="12.Liab-IntBearing"/>
      <sheetName val="13.Decom-Prov"/>
      <sheetName val="14. Shares"/>
      <sheetName val="15.Segment"/>
      <sheetName val="16.ExpbyNature"/>
      <sheetName val="17.CIT"/>
      <sheetName val="18.FinCost"/>
      <sheetName val="19.EPS"/>
      <sheetName val="20.FinInstrument"/>
      <sheetName val="Detail CF Hedge"/>
      <sheetName val="21. Lease receivable P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_TBL-09"/>
      <sheetName val="Poperty"/>
      <sheetName val="CONSO"/>
      <sheetName val="CONSOJournal"/>
      <sheetName val="SHEN_TBL"/>
      <sheetName val="ShenJournal"/>
      <sheetName val="CAM_FS"/>
      <sheetName val="Details_Property"/>
      <sheetName val="CAM-NETWORK"/>
      <sheetName val="AP-InCo-Q2-00"/>
      <sheetName val="LTC_BS"/>
      <sheetName val="LTC_PL"/>
      <sheetName val="Amort"/>
      <sheetName val="RATE"/>
      <sheetName val="GW"/>
      <sheetName val="ACcode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PCON2"/>
      <sheetName val="MIVb"/>
      <sheetName val="5.PA PL"/>
      <sheetName val="S33"/>
      <sheetName val="CASA-PLAN"/>
      <sheetName val="Capex-Rawdata"/>
      <sheetName val="TPCON2.XLS"/>
      <sheetName val="\ANUWATS\21-10\PERRY\CONTRACT\T"/>
      <sheetName val="Calendar"/>
      <sheetName val="\\THAICOM\DATA\PERRY\CONTRACT\T"/>
      <sheetName val="Number"/>
      <sheetName val="Sheet1"/>
      <sheetName val="J1"/>
      <sheetName val="DSC-Legal Entity (by Mth)"/>
      <sheetName val="Initial"/>
      <sheetName val="10-1 Media"/>
      <sheetName val="10-cut"/>
      <sheetName val="[TPCON2.XLS][TPCON2.XLS][TPCON2"/>
      <sheetName val="Subscriber Report"/>
      <sheetName val="[TPCON2.XLS]\ANUWATS\21-10\PERR"/>
      <sheetName val="SUMM-QTR"/>
      <sheetName val="Presentation"/>
      <sheetName val="BS&amp;CF presentation"/>
      <sheetName val="Summary"/>
      <sheetName val="compare by dept detail"/>
      <sheetName val=" 2-P&amp;L_USD"/>
      <sheetName val="1- P&amp;L_LAK"/>
      <sheetName val="Def tax"/>
      <sheetName val="Rev by monthly"/>
      <sheetName val="Sheet2"/>
      <sheetName val="dividend"/>
      <sheetName val="network"/>
      <sheetName val="Sheet3"/>
    </sheetNames>
    <definedNames>
      <definedName name="Month_REV" refersTo="#REF!"/>
      <definedName name="Quarter_rev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-Kip"/>
      <sheetName val="PL-Kip(after adj)"/>
      <sheetName val="PL-Trend(adjust)"/>
      <sheetName val="BS-USD"/>
      <sheetName val="PL-USD (2)"/>
      <sheetName val="Sheet3"/>
    </sheetNames>
    <sheetDataSet>
      <sheetData sheetId="0"/>
      <sheetData sheetId="1" refreshError="1"/>
      <sheetData sheetId="2"/>
      <sheetData sheetId="3"/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"/>
      <sheetName val="C_entry"/>
      <sheetName val="LTC_adj"/>
      <sheetName val="CAM_FS"/>
      <sheetName val="CAM_TB"/>
      <sheetName val="NOUSE"/>
      <sheetName val="NOTE"/>
      <sheetName val="Interco"/>
      <sheetName val="MMLoan"/>
      <sheetName val="MMAsst"/>
      <sheetName val="D_Asst"/>
      <sheetName val="ShenTBL"/>
      <sheetName val="LTC_BS"/>
      <sheetName val="LTC_PL"/>
      <sheetName val="Amort"/>
      <sheetName val="RATE"/>
      <sheetName val="GW"/>
      <sheetName val="ACcode"/>
      <sheetName val="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ssa"/>
      <sheetName val="BS-USD"/>
      <sheetName val="BS-Baht"/>
      <sheetName val="Assumptions"/>
      <sheetName val="Rev-mkt"/>
      <sheetName val="Costs &amp; SG&amp;A"/>
      <sheetName val="Capex"/>
      <sheetName val="Debt"/>
      <sheetName val="Valuation"/>
      <sheetName val="Revenues"/>
      <sheetName val="Ratios"/>
      <sheetName val="ParibasModule"/>
      <sheetName val="manhours"/>
      <sheetName val="ssa_existing"/>
      <sheetName val="BSLA"/>
      <sheetName val="HISTORICO"/>
      <sheetName val="เครื่องตกแต่ง"/>
      <sheetName val="อาคาร"/>
      <sheetName val="CJEs"/>
      <sheetName val="Costs_&amp;_SG&amp;A"/>
      <sheetName val="5.PA PL"/>
      <sheetName val="DSC-Legal Entity (by Mth)"/>
      <sheetName val="10-1 Media"/>
      <sheetName val="10-cut"/>
      <sheetName val="TB 31 DEC 11"/>
      <sheetName val="TB 31 DEC 12"/>
      <sheetName val="TB 2013"/>
      <sheetName val="CJE (2)"/>
      <sheetName val="TB 2014"/>
      <sheetName val="TB KPMG"/>
      <sheetName val="TB 2014 (2)"/>
      <sheetName val="CJE_copy"/>
      <sheetName val="TB KPMG (2)"/>
      <sheetName val="CJE adj 2013"/>
      <sheetName val="SUAD 2013"/>
      <sheetName val="WBS"/>
      <sheetName val="WPL"/>
      <sheetName val="O300"/>
      <sheetName val="L300"/>
      <sheetName val="M300"/>
      <sheetName val="M301"/>
      <sheetName val="M302"/>
      <sheetName val="M303"/>
      <sheetName val="M304"/>
      <sheetName val="K300"/>
      <sheetName val="G300"/>
      <sheetName val="V300"/>
      <sheetName val="X300"/>
      <sheetName val="X400"/>
      <sheetName val="T300"/>
      <sheetName val="P300"/>
      <sheetName val="L301"/>
      <sheetName val="K301"/>
      <sheetName val="ZC300"/>
      <sheetName val="ZD300"/>
      <sheetName val="ZD301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"/>
      <sheetName val="C_entry"/>
      <sheetName val="LTC_adj"/>
      <sheetName val="CAM_FS"/>
      <sheetName val="CAM_TB"/>
      <sheetName val="NOUSE"/>
      <sheetName val="NOTE"/>
      <sheetName val="Interco"/>
      <sheetName val="MMLoan"/>
      <sheetName val="MMAsst"/>
      <sheetName val="D_Asst"/>
      <sheetName val="ShenTBL"/>
      <sheetName val="LTC_BS"/>
      <sheetName val="LTC_PL"/>
      <sheetName val="Amort"/>
      <sheetName val="RATE"/>
      <sheetName val="GW"/>
      <sheetName val="ACcode"/>
      <sheetName val="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valid date"/>
      <sheetName val="KPI_2004"/>
      <sheetName val="Sub."/>
      <sheetName val="PL 2003-04"/>
      <sheetName val="CF 2003"/>
      <sheetName val="2003"/>
      <sheetName val="pl_oct_11"/>
      <sheetName val="sub&amp;bwd"/>
      <sheetName val="BCG_avg_may_jun"/>
      <sheetName val="summary"/>
      <sheetName val="Test_BCG_04_allo"/>
      <sheetName val="BCG-MATRIX"/>
      <sheetName val="Bwd_assumption"/>
      <sheetName val="BCG_Jan_Jul"/>
      <sheetName val="Sales_assumption"/>
      <sheetName val="Revenue_&amp;_sub"/>
      <sheetName val="Jun_board_report"/>
      <sheetName val="normalizeJUL03"/>
      <sheetName val="8.CSC_Revenue Drivers_jan-jul03"/>
      <sheetName val="cslox_arpu"/>
      <sheetName val="9.LXS_Revenue Drivers_jan_jul03"/>
      <sheetName val="14.1. LoxMovData"/>
      <sheetName val="12.1.GraphData"/>
      <sheetName val="13.1CSCMovData"/>
      <sheetName val="Used_Acc"/>
      <sheetName val="Debt"/>
      <sheetName val="Sum"/>
      <sheetName val="OpEx"/>
      <sheetName val="Budget_&amp;BCG"/>
      <sheetName val="ยานพาหนะ"/>
      <sheetName val="210010"/>
      <sheetName val="BSLA"/>
      <sheetName val="Sheet1"/>
      <sheetName val="TrialBalance Q3-2002"/>
      <sheetName val="DW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59B9-4F4F-478B-9B81-EE5040E8F3E6}">
  <sheetPr>
    <pageSetUpPr fitToPage="1"/>
  </sheetPr>
  <dimension ref="A1:U355"/>
  <sheetViews>
    <sheetView showGridLines="0" tabSelected="1" view="pageBreakPreview" topLeftCell="A62" zoomScaleNormal="100" zoomScaleSheetLayoutView="100" workbookViewId="0">
      <selection activeCell="F110" sqref="F110"/>
    </sheetView>
  </sheetViews>
  <sheetFormatPr defaultColWidth="9.140625" defaultRowHeight="21.75"/>
  <cols>
    <col min="1" max="1" width="48.85546875" style="3" customWidth="1"/>
    <col min="2" max="2" width="8.140625" style="6" customWidth="1"/>
    <col min="3" max="3" width="1.5703125" style="6" customWidth="1"/>
    <col min="4" max="4" width="18.42578125" style="65" customWidth="1"/>
    <col min="5" max="5" width="1.5703125" style="65" customWidth="1"/>
    <col min="6" max="6" width="18.42578125" style="65" customWidth="1"/>
    <col min="7" max="7" width="1.5703125" style="35" customWidth="1"/>
    <col min="8" max="8" width="18.42578125" style="65" customWidth="1"/>
    <col min="9" max="9" width="1.5703125" style="35" customWidth="1"/>
    <col min="10" max="10" width="18.42578125" style="65" customWidth="1"/>
    <col min="11" max="11" width="15.140625" style="65" bestFit="1" customWidth="1"/>
    <col min="12" max="12" width="19" style="2" bestFit="1" customWidth="1"/>
    <col min="13" max="13" width="18.85546875" style="3" bestFit="1" customWidth="1"/>
    <col min="14" max="14" width="4.85546875" style="3" customWidth="1"/>
    <col min="15" max="15" width="11.140625" style="3" bestFit="1" customWidth="1"/>
    <col min="16" max="16" width="10" style="3" bestFit="1" customWidth="1"/>
    <col min="17" max="17" width="10.140625" style="3" customWidth="1"/>
    <col min="18" max="18" width="10" style="3" bestFit="1" customWidth="1"/>
    <col min="19" max="19" width="11.5703125" style="3" bestFit="1" customWidth="1"/>
    <col min="20" max="16384" width="9.140625" style="3"/>
  </cols>
  <sheetData>
    <row r="1" spans="1:21" ht="24.75" customHeight="1">
      <c r="A1" s="136" t="s">
        <v>0</v>
      </c>
      <c r="B1" s="136"/>
      <c r="C1" s="136"/>
      <c r="D1" s="136"/>
      <c r="E1" s="136"/>
      <c r="F1" s="136"/>
      <c r="G1" s="136"/>
      <c r="H1" s="1"/>
      <c r="I1" s="1"/>
      <c r="J1" s="118"/>
      <c r="K1" s="1"/>
    </row>
    <row r="2" spans="1:21" ht="21.75" customHeight="1">
      <c r="A2" s="136" t="s">
        <v>1</v>
      </c>
      <c r="B2" s="136"/>
      <c r="C2" s="136"/>
      <c r="D2" s="136"/>
      <c r="E2" s="136"/>
      <c r="F2" s="136"/>
      <c r="G2" s="136"/>
      <c r="H2" s="1"/>
      <c r="I2" s="1"/>
      <c r="J2" s="1"/>
      <c r="K2" s="1"/>
    </row>
    <row r="3" spans="1:21" ht="14.45" customHeight="1">
      <c r="A3" s="1"/>
      <c r="B3" s="4"/>
      <c r="C3" s="4"/>
      <c r="D3" s="3"/>
      <c r="E3" s="3"/>
      <c r="F3" s="3"/>
      <c r="G3" s="3"/>
      <c r="H3" s="3"/>
      <c r="I3" s="3"/>
      <c r="J3" s="3"/>
      <c r="K3" s="3"/>
    </row>
    <row r="4" spans="1:21" ht="21.75" customHeight="1">
      <c r="A4" s="1"/>
      <c r="B4" s="4"/>
      <c r="C4" s="4"/>
      <c r="D4" s="134" t="s">
        <v>2</v>
      </c>
      <c r="E4" s="134"/>
      <c r="F4" s="134"/>
      <c r="G4" s="23"/>
      <c r="H4" s="134" t="s">
        <v>3</v>
      </c>
      <c r="I4" s="134"/>
      <c r="J4" s="134"/>
      <c r="K4" s="5"/>
    </row>
    <row r="5" spans="1:21" ht="21.75" customHeight="1">
      <c r="D5" s="137" t="s">
        <v>4</v>
      </c>
      <c r="E5" s="137"/>
      <c r="F5" s="137"/>
      <c r="G5" s="8"/>
      <c r="H5" s="137" t="s">
        <v>4</v>
      </c>
      <c r="I5" s="137"/>
      <c r="J5" s="137"/>
      <c r="K5" s="3"/>
      <c r="M5" s="9"/>
      <c r="N5" s="9"/>
      <c r="O5" s="9"/>
    </row>
    <row r="6" spans="1:21" ht="21.75" customHeight="1">
      <c r="A6" s="10" t="s">
        <v>5</v>
      </c>
      <c r="B6" s="6" t="s">
        <v>6</v>
      </c>
      <c r="D6" s="7">
        <v>2566</v>
      </c>
      <c r="E6" s="7"/>
      <c r="F6" s="105">
        <v>2565</v>
      </c>
      <c r="G6" s="8"/>
      <c r="H6" s="7">
        <v>2566</v>
      </c>
      <c r="I6" s="7"/>
      <c r="J6" s="105">
        <v>2565</v>
      </c>
      <c r="K6" s="7"/>
      <c r="L6" s="11"/>
      <c r="M6" s="9"/>
      <c r="N6" s="9"/>
      <c r="O6" s="9"/>
    </row>
    <row r="7" spans="1:21" ht="21.75" customHeight="1">
      <c r="D7" s="135" t="s">
        <v>7</v>
      </c>
      <c r="E7" s="135"/>
      <c r="F7" s="135"/>
      <c r="G7" s="135"/>
      <c r="H7" s="135"/>
      <c r="I7" s="135"/>
      <c r="J7" s="135"/>
      <c r="K7" s="6"/>
      <c r="M7" s="12"/>
      <c r="N7" s="12"/>
      <c r="O7" s="12"/>
    </row>
    <row r="8" spans="1:21" ht="21.75" customHeight="1">
      <c r="A8" s="121" t="s">
        <v>8</v>
      </c>
      <c r="D8" s="13"/>
      <c r="E8" s="13"/>
      <c r="F8" s="13"/>
      <c r="G8" s="7"/>
      <c r="H8" s="13"/>
      <c r="I8" s="7"/>
      <c r="J8" s="13"/>
      <c r="K8" s="13"/>
      <c r="L8" s="14"/>
      <c r="M8" s="9"/>
      <c r="N8" s="9"/>
      <c r="O8" s="9"/>
    </row>
    <row r="9" spans="1:21" ht="23.25">
      <c r="A9" s="119" t="s">
        <v>9</v>
      </c>
      <c r="B9" s="6">
        <v>6</v>
      </c>
      <c r="D9" s="15">
        <v>38712913937</v>
      </c>
      <c r="E9" s="16"/>
      <c r="F9" s="15">
        <v>39193654333</v>
      </c>
      <c r="G9" s="16"/>
      <c r="H9" s="113">
        <v>12292917816</v>
      </c>
      <c r="I9" s="16"/>
      <c r="J9" s="15">
        <v>15602897101</v>
      </c>
      <c r="K9" s="15"/>
      <c r="M9" s="17"/>
      <c r="N9" s="17"/>
      <c r="O9" s="18"/>
    </row>
    <row r="10" spans="1:21" ht="23.25">
      <c r="A10" s="119" t="s">
        <v>10</v>
      </c>
      <c r="B10" s="6">
        <v>7</v>
      </c>
      <c r="D10" s="15">
        <v>3289653860</v>
      </c>
      <c r="E10" s="16"/>
      <c r="F10" s="15">
        <v>3015202514</v>
      </c>
      <c r="G10" s="16"/>
      <c r="H10" s="114">
        <v>0</v>
      </c>
      <c r="I10" s="16"/>
      <c r="J10" s="15">
        <v>0</v>
      </c>
      <c r="K10" s="15"/>
      <c r="M10" s="17"/>
      <c r="N10" s="17"/>
      <c r="O10" s="18"/>
    </row>
    <row r="11" spans="1:21">
      <c r="A11" s="119" t="s">
        <v>11</v>
      </c>
      <c r="B11" s="6" t="s">
        <v>12</v>
      </c>
      <c r="D11" s="15">
        <v>21164781295</v>
      </c>
      <c r="E11" s="16"/>
      <c r="F11" s="15">
        <v>18998824124</v>
      </c>
      <c r="G11" s="16"/>
      <c r="H11" s="114">
        <v>51331434</v>
      </c>
      <c r="I11" s="16"/>
      <c r="J11" s="15">
        <v>409834458</v>
      </c>
      <c r="K11" s="15"/>
      <c r="M11" s="15"/>
      <c r="N11" s="15"/>
      <c r="O11" s="15"/>
      <c r="P11" s="15"/>
      <c r="Q11" s="15"/>
    </row>
    <row r="12" spans="1:21">
      <c r="A12" s="119" t="s">
        <v>13</v>
      </c>
      <c r="D12" s="15"/>
      <c r="E12" s="16"/>
      <c r="F12" s="15"/>
      <c r="G12" s="16"/>
      <c r="H12" s="115"/>
      <c r="I12" s="16"/>
      <c r="J12" s="15"/>
      <c r="K12" s="15"/>
      <c r="M12" s="15"/>
      <c r="N12" s="15"/>
      <c r="O12" s="15"/>
      <c r="P12" s="15"/>
      <c r="Q12" s="15"/>
    </row>
    <row r="13" spans="1:21">
      <c r="A13" s="120" t="s">
        <v>14</v>
      </c>
      <c r="B13" s="6">
        <v>8</v>
      </c>
      <c r="D13" s="15">
        <v>1677358234</v>
      </c>
      <c r="E13" s="16"/>
      <c r="F13" s="15">
        <v>1039633376</v>
      </c>
      <c r="G13" s="16"/>
      <c r="H13" s="115">
        <v>0</v>
      </c>
      <c r="I13" s="16"/>
      <c r="J13" s="15">
        <v>0</v>
      </c>
      <c r="K13" s="15"/>
      <c r="M13" s="15"/>
      <c r="N13" s="15"/>
      <c r="O13" s="15"/>
      <c r="P13" s="15"/>
      <c r="Q13" s="15"/>
    </row>
    <row r="14" spans="1:21">
      <c r="A14" s="119" t="s">
        <v>15</v>
      </c>
      <c r="B14" s="6">
        <v>5</v>
      </c>
      <c r="D14" s="15">
        <v>2898068843</v>
      </c>
      <c r="E14" s="16"/>
      <c r="F14" s="15">
        <v>2979562538</v>
      </c>
      <c r="G14" s="16"/>
      <c r="H14" s="113">
        <v>411831381</v>
      </c>
      <c r="I14" s="16"/>
      <c r="J14" s="15">
        <v>283552247</v>
      </c>
      <c r="K14" s="20"/>
      <c r="M14" s="15"/>
      <c r="N14" s="15"/>
      <c r="O14" s="15"/>
      <c r="P14" s="15"/>
      <c r="Q14" s="15"/>
    </row>
    <row r="15" spans="1:21" customFormat="1">
      <c r="A15" s="120" t="s">
        <v>16</v>
      </c>
      <c r="B15" s="6">
        <v>5</v>
      </c>
      <c r="C15" s="6"/>
      <c r="D15" s="114">
        <v>0</v>
      </c>
      <c r="E15" s="113"/>
      <c r="F15" s="114">
        <v>0</v>
      </c>
      <c r="G15" s="113"/>
      <c r="H15" s="113">
        <v>7107781867</v>
      </c>
      <c r="I15" s="113"/>
      <c r="J15" s="114">
        <v>0</v>
      </c>
      <c r="K15" s="20"/>
      <c r="L15" s="2"/>
      <c r="M15" s="114"/>
      <c r="N15" s="114"/>
      <c r="O15" s="114"/>
      <c r="P15" s="114"/>
      <c r="Q15" s="114"/>
    </row>
    <row r="16" spans="1:21" ht="23.25">
      <c r="A16" s="119" t="s">
        <v>17</v>
      </c>
      <c r="D16" s="21"/>
      <c r="E16" s="16"/>
      <c r="F16" s="15"/>
      <c r="G16" s="16"/>
      <c r="H16" s="21"/>
      <c r="I16" s="16"/>
      <c r="J16" s="15"/>
      <c r="K16" s="15"/>
      <c r="M16" s="17"/>
      <c r="N16" s="17"/>
      <c r="O16" s="18"/>
      <c r="Q16" s="22"/>
      <c r="R16" s="22"/>
      <c r="S16" s="22"/>
      <c r="T16" s="22"/>
      <c r="U16" s="22"/>
    </row>
    <row r="17" spans="1:21" ht="23.25">
      <c r="A17" s="120" t="s">
        <v>14</v>
      </c>
      <c r="B17" s="6">
        <v>5</v>
      </c>
      <c r="D17" s="21">
        <v>0</v>
      </c>
      <c r="E17" s="16"/>
      <c r="F17" s="15">
        <v>52618689</v>
      </c>
      <c r="G17" s="16"/>
      <c r="H17" s="21">
        <v>0</v>
      </c>
      <c r="I17" s="16"/>
      <c r="J17" s="15">
        <v>0</v>
      </c>
      <c r="K17" s="15"/>
      <c r="M17" s="17"/>
      <c r="N17" s="17"/>
      <c r="O17" s="18"/>
      <c r="Q17" s="22"/>
      <c r="R17" s="22"/>
      <c r="S17" s="22"/>
      <c r="T17" s="22"/>
      <c r="U17" s="22"/>
    </row>
    <row r="18" spans="1:21" ht="23.25">
      <c r="A18" s="119" t="s">
        <v>18</v>
      </c>
      <c r="B18" s="6">
        <v>22</v>
      </c>
      <c r="D18" s="21">
        <v>1804762209</v>
      </c>
      <c r="E18" s="16"/>
      <c r="F18" s="15">
        <v>3133755900</v>
      </c>
      <c r="G18" s="16"/>
      <c r="H18" s="21">
        <v>0</v>
      </c>
      <c r="I18" s="16"/>
      <c r="J18" s="15">
        <v>4831080</v>
      </c>
      <c r="K18" s="20"/>
      <c r="M18" s="17"/>
      <c r="N18" s="17"/>
      <c r="O18" s="18"/>
      <c r="Q18" s="22"/>
      <c r="R18" s="22"/>
      <c r="S18" s="22"/>
      <c r="T18" s="22"/>
      <c r="U18" s="22"/>
    </row>
    <row r="19" spans="1:21" ht="23.25">
      <c r="A19" s="120" t="s">
        <v>19</v>
      </c>
      <c r="D19" s="15">
        <v>2957598271</v>
      </c>
      <c r="E19" s="16"/>
      <c r="F19" s="15">
        <v>1560708740</v>
      </c>
      <c r="G19" s="16"/>
      <c r="H19" s="21">
        <v>0</v>
      </c>
      <c r="I19" s="16"/>
      <c r="J19" s="15">
        <v>0</v>
      </c>
      <c r="K19" s="15"/>
      <c r="M19" s="17"/>
      <c r="N19" s="17"/>
      <c r="O19" s="18"/>
    </row>
    <row r="20" spans="1:21" ht="23.25">
      <c r="A20" s="119" t="s">
        <v>20</v>
      </c>
      <c r="D20" s="15">
        <v>181357309</v>
      </c>
      <c r="E20" s="16"/>
      <c r="F20" s="15">
        <v>275420151</v>
      </c>
      <c r="G20" s="16"/>
      <c r="H20" s="21">
        <v>0</v>
      </c>
      <c r="I20" s="16"/>
      <c r="J20" s="15">
        <v>0</v>
      </c>
      <c r="K20" s="15"/>
      <c r="M20" s="17"/>
      <c r="N20" s="17"/>
      <c r="O20" s="18"/>
    </row>
    <row r="21" spans="1:21" s="23" customFormat="1" ht="21.6" customHeight="1">
      <c r="A21" s="104" t="s">
        <v>21</v>
      </c>
      <c r="B21" s="24"/>
      <c r="C21" s="24"/>
      <c r="D21" s="25">
        <f>SUM(D9:D20)</f>
        <v>72686493958</v>
      </c>
      <c r="E21" s="26"/>
      <c r="F21" s="25">
        <f>SUM(F9:F20)</f>
        <v>70249380365</v>
      </c>
      <c r="G21" s="11"/>
      <c r="H21" s="25">
        <f>SUM(H9:H20)</f>
        <v>19863862498</v>
      </c>
      <c r="I21" s="11"/>
      <c r="J21" s="25">
        <f>SUM(J9:J20)</f>
        <v>16301114886</v>
      </c>
      <c r="K21" s="26"/>
      <c r="L21" s="11"/>
      <c r="M21" s="17"/>
      <c r="N21" s="17"/>
      <c r="O21" s="18"/>
    </row>
    <row r="22" spans="1:21" ht="23.1" customHeight="1">
      <c r="A22" s="23"/>
      <c r="D22" s="21"/>
      <c r="E22" s="21"/>
      <c r="F22" s="21"/>
      <c r="G22" s="2"/>
      <c r="H22" s="3"/>
      <c r="I22" s="3"/>
      <c r="J22" s="3"/>
      <c r="K22" s="3"/>
      <c r="L22" s="21"/>
      <c r="M22" s="17"/>
      <c r="N22" s="17"/>
      <c r="O22" s="18"/>
    </row>
    <row r="23" spans="1:21" ht="21.75" customHeight="1">
      <c r="A23" s="121" t="s">
        <v>22</v>
      </c>
      <c r="D23" s="21"/>
      <c r="E23" s="21"/>
      <c r="F23" s="21"/>
      <c r="G23" s="2"/>
      <c r="H23" s="21"/>
      <c r="I23" s="2"/>
      <c r="J23" s="21"/>
      <c r="K23" s="21"/>
      <c r="L23" s="14"/>
      <c r="M23" s="27"/>
      <c r="N23" s="17"/>
      <c r="O23" s="18"/>
      <c r="P23" s="28"/>
    </row>
    <row r="24" spans="1:21" ht="21.75" customHeight="1">
      <c r="A24" s="120" t="s">
        <v>23</v>
      </c>
      <c r="B24" s="6">
        <v>7</v>
      </c>
      <c r="D24" s="21">
        <v>1321689153</v>
      </c>
      <c r="E24" s="21"/>
      <c r="F24" s="21">
        <v>1285738067</v>
      </c>
      <c r="G24" s="2"/>
      <c r="H24" s="21">
        <v>0</v>
      </c>
      <c r="I24" s="2"/>
      <c r="J24" s="21">
        <v>0</v>
      </c>
      <c r="K24" s="21"/>
      <c r="M24" s="27"/>
      <c r="N24" s="17"/>
      <c r="O24" s="18"/>
      <c r="P24" s="28"/>
    </row>
    <row r="25" spans="1:21" ht="21.75" customHeight="1">
      <c r="A25" s="119" t="s">
        <v>24</v>
      </c>
      <c r="B25" s="6">
        <v>22</v>
      </c>
      <c r="D25" s="21">
        <v>10969705090</v>
      </c>
      <c r="E25" s="21"/>
      <c r="F25" s="21">
        <v>11811666794</v>
      </c>
      <c r="G25" s="2"/>
      <c r="H25" s="21">
        <v>2499501875</v>
      </c>
      <c r="I25" s="2"/>
      <c r="J25" s="21">
        <v>565768332</v>
      </c>
      <c r="K25" s="29"/>
      <c r="M25" s="27"/>
      <c r="N25" s="17"/>
      <c r="O25" s="18"/>
      <c r="P25" s="28"/>
    </row>
    <row r="26" spans="1:21" ht="23.25">
      <c r="A26" s="122" t="s">
        <v>25</v>
      </c>
      <c r="B26" s="6">
        <v>9</v>
      </c>
      <c r="D26" s="21">
        <v>0</v>
      </c>
      <c r="E26" s="30"/>
      <c r="F26" s="15">
        <v>0</v>
      </c>
      <c r="G26" s="30"/>
      <c r="H26" s="31">
        <v>47854652270</v>
      </c>
      <c r="I26" s="32"/>
      <c r="J26" s="15">
        <v>38887689249</v>
      </c>
      <c r="K26" s="15"/>
      <c r="M26" s="27"/>
      <c r="N26" s="27"/>
      <c r="O26" s="18"/>
      <c r="P26" s="28"/>
    </row>
    <row r="27" spans="1:21" ht="23.25">
      <c r="A27" s="122" t="s">
        <v>26</v>
      </c>
      <c r="B27" s="6">
        <v>10</v>
      </c>
      <c r="D27" s="21">
        <v>145927068976</v>
      </c>
      <c r="E27" s="21"/>
      <c r="F27" s="15">
        <v>142005683801</v>
      </c>
      <c r="G27" s="21"/>
      <c r="H27" s="21">
        <v>140160896097</v>
      </c>
      <c r="I27" s="2"/>
      <c r="J27" s="15">
        <v>138310821780</v>
      </c>
      <c r="K27" s="15"/>
      <c r="M27" s="27"/>
      <c r="N27" s="27"/>
      <c r="O27" s="18"/>
      <c r="P27" s="28"/>
    </row>
    <row r="28" spans="1:21">
      <c r="A28" s="122" t="s">
        <v>27</v>
      </c>
      <c r="B28" s="6">
        <v>10</v>
      </c>
      <c r="D28" s="21">
        <v>34805258059</v>
      </c>
      <c r="E28" s="21"/>
      <c r="F28" s="15">
        <v>18928098795</v>
      </c>
      <c r="G28" s="21"/>
      <c r="H28" s="21">
        <v>7564157465</v>
      </c>
      <c r="I28" s="2"/>
      <c r="J28" s="15">
        <v>5679051032</v>
      </c>
      <c r="K28" s="15"/>
      <c r="M28" s="14"/>
      <c r="N28" s="14"/>
      <c r="O28" s="14"/>
      <c r="P28" s="14"/>
      <c r="Q28" s="14"/>
      <c r="R28" s="14"/>
      <c r="S28" s="14"/>
      <c r="T28" s="14"/>
    </row>
    <row r="29" spans="1:21">
      <c r="A29" s="122" t="s">
        <v>28</v>
      </c>
      <c r="B29" s="6" t="s">
        <v>12</v>
      </c>
      <c r="D29" s="21">
        <v>0</v>
      </c>
      <c r="E29" s="21"/>
      <c r="F29" s="15">
        <v>0</v>
      </c>
      <c r="G29" s="21"/>
      <c r="H29" s="21">
        <v>390604811</v>
      </c>
      <c r="I29" s="2"/>
      <c r="J29" s="15">
        <v>357165321</v>
      </c>
      <c r="K29" s="15"/>
      <c r="M29" s="14"/>
      <c r="N29" s="14"/>
      <c r="O29" s="14"/>
      <c r="P29" s="14"/>
      <c r="Q29" s="14"/>
      <c r="R29" s="14"/>
      <c r="S29" s="14"/>
      <c r="T29" s="14"/>
    </row>
    <row r="30" spans="1:21" ht="23.25">
      <c r="A30" s="122" t="s">
        <v>29</v>
      </c>
      <c r="B30" s="6">
        <v>5</v>
      </c>
      <c r="D30" s="21">
        <v>1889361855</v>
      </c>
      <c r="E30" s="21"/>
      <c r="F30" s="21">
        <v>1755382531</v>
      </c>
      <c r="G30" s="2"/>
      <c r="H30" s="21">
        <v>2810604875</v>
      </c>
      <c r="I30" s="2"/>
      <c r="J30" s="21">
        <v>1545494871</v>
      </c>
      <c r="K30" s="33"/>
      <c r="M30" s="27"/>
      <c r="N30" s="27"/>
      <c r="O30" s="18"/>
      <c r="P30" s="28"/>
    </row>
    <row r="31" spans="1:21" ht="23.25">
      <c r="A31" s="122" t="s">
        <v>13</v>
      </c>
      <c r="B31" s="6">
        <v>8</v>
      </c>
      <c r="D31" s="21">
        <v>57018570417</v>
      </c>
      <c r="E31" s="21"/>
      <c r="F31" s="21">
        <v>38644104114</v>
      </c>
      <c r="G31" s="2"/>
      <c r="H31" s="21">
        <v>0</v>
      </c>
      <c r="I31" s="2"/>
      <c r="J31" s="21">
        <v>0</v>
      </c>
      <c r="K31" s="33"/>
      <c r="M31" s="27"/>
      <c r="N31" s="27"/>
      <c r="O31" s="18"/>
      <c r="P31" s="28"/>
    </row>
    <row r="32" spans="1:21" ht="23.25">
      <c r="A32" s="122" t="s">
        <v>30</v>
      </c>
      <c r="B32" s="6">
        <v>24</v>
      </c>
      <c r="D32" s="21">
        <v>9155255698</v>
      </c>
      <c r="E32" s="21"/>
      <c r="F32" s="21">
        <v>4613890398</v>
      </c>
      <c r="G32" s="2"/>
      <c r="H32" s="21">
        <v>0</v>
      </c>
      <c r="I32" s="2"/>
      <c r="J32" s="21">
        <v>0</v>
      </c>
      <c r="K32" s="34"/>
      <c r="M32" s="27"/>
      <c r="N32" s="27"/>
      <c r="O32" s="18"/>
      <c r="P32" s="28"/>
    </row>
    <row r="33" spans="1:17" ht="23.25">
      <c r="A33" s="119" t="s">
        <v>17</v>
      </c>
      <c r="B33" s="6">
        <v>5</v>
      </c>
      <c r="D33" s="21">
        <v>20883936149</v>
      </c>
      <c r="E33" s="30"/>
      <c r="F33" s="15">
        <v>16444752534</v>
      </c>
      <c r="G33" s="21"/>
      <c r="H33" s="21">
        <v>45128727311</v>
      </c>
      <c r="I33" s="2"/>
      <c r="J33" s="15">
        <v>30893278509</v>
      </c>
      <c r="K33" s="15"/>
      <c r="M33" s="27"/>
      <c r="N33" s="27"/>
      <c r="O33" s="18"/>
      <c r="P33" s="28"/>
    </row>
    <row r="34" spans="1:17" ht="23.25">
      <c r="A34" s="122" t="s">
        <v>31</v>
      </c>
      <c r="D34" s="21">
        <v>3281970654</v>
      </c>
      <c r="E34" s="21"/>
      <c r="F34" s="15">
        <v>3266985654</v>
      </c>
      <c r="G34" s="21"/>
      <c r="H34" s="21">
        <v>3214079567</v>
      </c>
      <c r="I34" s="32"/>
      <c r="J34" s="15">
        <v>3199094567</v>
      </c>
      <c r="K34" s="15"/>
      <c r="M34" s="17"/>
      <c r="N34" s="17"/>
      <c r="O34" s="18"/>
      <c r="P34" s="28"/>
    </row>
    <row r="35" spans="1:17" ht="23.25">
      <c r="A35" s="122" t="s">
        <v>32</v>
      </c>
      <c r="D35" s="21">
        <v>2015955084</v>
      </c>
      <c r="E35" s="21"/>
      <c r="F35" s="15">
        <v>2142338229</v>
      </c>
      <c r="G35" s="21"/>
      <c r="H35" s="21">
        <v>0</v>
      </c>
      <c r="I35" s="32"/>
      <c r="J35" s="15">
        <v>0</v>
      </c>
      <c r="K35" s="15"/>
      <c r="M35" s="17"/>
      <c r="N35" s="17"/>
      <c r="O35" s="18"/>
      <c r="P35" s="28"/>
    </row>
    <row r="36" spans="1:17" ht="23.25">
      <c r="A36" s="122" t="s">
        <v>33</v>
      </c>
      <c r="B36" s="6">
        <v>11</v>
      </c>
      <c r="D36" s="21">
        <v>90221978164</v>
      </c>
      <c r="E36" s="35"/>
      <c r="F36" s="15">
        <v>99554657704</v>
      </c>
      <c r="H36" s="21">
        <v>188175220</v>
      </c>
      <c r="J36" s="15">
        <v>114539641</v>
      </c>
      <c r="K36" s="15"/>
      <c r="M36" s="17"/>
      <c r="N36" s="17"/>
      <c r="O36" s="18"/>
      <c r="Q36" s="36"/>
    </row>
    <row r="37" spans="1:17" ht="23.25">
      <c r="A37" s="122" t="s">
        <v>34</v>
      </c>
      <c r="D37" s="21">
        <v>1928950833</v>
      </c>
      <c r="E37" s="35"/>
      <c r="F37" s="15">
        <v>2353540394</v>
      </c>
      <c r="H37" s="21">
        <v>130565467</v>
      </c>
      <c r="J37" s="15">
        <v>213132806</v>
      </c>
      <c r="K37" s="15"/>
      <c r="M37" s="17"/>
      <c r="N37" s="17"/>
      <c r="O37" s="18"/>
      <c r="Q37" s="36"/>
    </row>
    <row r="38" spans="1:17" ht="23.25">
      <c r="A38" s="123" t="s">
        <v>35</v>
      </c>
      <c r="B38" s="6">
        <v>12</v>
      </c>
      <c r="D38" s="21">
        <v>5958416974</v>
      </c>
      <c r="E38" s="35"/>
      <c r="F38" s="15">
        <v>3872953902</v>
      </c>
      <c r="H38" s="21">
        <v>44745861</v>
      </c>
      <c r="J38" s="15">
        <v>36274561</v>
      </c>
      <c r="K38" s="15"/>
      <c r="M38" s="17"/>
      <c r="N38" s="17"/>
      <c r="O38" s="18"/>
      <c r="Q38" s="36"/>
    </row>
    <row r="39" spans="1:17" ht="23.25">
      <c r="A39" s="122" t="s">
        <v>36</v>
      </c>
      <c r="B39" s="6">
        <v>19</v>
      </c>
      <c r="D39" s="21">
        <v>827219325</v>
      </c>
      <c r="E39" s="35"/>
      <c r="F39" s="15">
        <v>731835619</v>
      </c>
      <c r="H39" s="21">
        <v>77404869</v>
      </c>
      <c r="J39" s="15">
        <v>0</v>
      </c>
      <c r="K39" s="15"/>
      <c r="M39" s="17"/>
      <c r="N39" s="17"/>
      <c r="O39" s="18"/>
    </row>
    <row r="40" spans="1:17" ht="23.25">
      <c r="A40" s="122" t="s">
        <v>20</v>
      </c>
      <c r="D40" s="21">
        <v>205442849</v>
      </c>
      <c r="E40" s="35"/>
      <c r="F40" s="15">
        <v>28073212</v>
      </c>
      <c r="H40" s="21">
        <v>0</v>
      </c>
      <c r="J40" s="15">
        <v>0</v>
      </c>
      <c r="K40" s="15"/>
      <c r="M40" s="17"/>
      <c r="N40" s="17"/>
      <c r="O40" s="18"/>
    </row>
    <row r="41" spans="1:17" ht="23.25">
      <c r="A41" s="122" t="s">
        <v>37</v>
      </c>
      <c r="D41" s="21">
        <v>416893684</v>
      </c>
      <c r="E41" s="35"/>
      <c r="F41" s="15">
        <v>482882620</v>
      </c>
      <c r="H41" s="21">
        <v>28076096</v>
      </c>
      <c r="J41" s="15">
        <v>28271496</v>
      </c>
      <c r="K41" s="20"/>
      <c r="M41" s="17"/>
      <c r="N41" s="17"/>
      <c r="O41" s="18"/>
    </row>
    <row r="42" spans="1:17" s="23" customFormat="1" ht="21.75" customHeight="1">
      <c r="A42" s="104" t="s">
        <v>38</v>
      </c>
      <c r="B42" s="24"/>
      <c r="C42" s="24"/>
      <c r="D42" s="116">
        <f>SUM(D24:D41)</f>
        <v>386827672964</v>
      </c>
      <c r="E42" s="38"/>
      <c r="F42" s="37">
        <f>SUM(F24:F41)</f>
        <v>347922584368</v>
      </c>
      <c r="H42" s="116">
        <f>SUM(H24:H41)</f>
        <v>250092191784</v>
      </c>
      <c r="J42" s="37">
        <f>SUM(J24:J41)</f>
        <v>219830582165</v>
      </c>
      <c r="K42" s="98"/>
      <c r="L42" s="11"/>
      <c r="M42" s="17"/>
      <c r="N42" s="17"/>
      <c r="O42" s="18"/>
    </row>
    <row r="43" spans="1:17" ht="9.9499999999999993" customHeight="1">
      <c r="D43" s="21"/>
      <c r="E43" s="21"/>
      <c r="F43" s="21"/>
      <c r="G43" s="2"/>
      <c r="H43" s="21"/>
      <c r="I43" s="2"/>
      <c r="J43" s="21"/>
      <c r="K43" s="21"/>
      <c r="M43" s="17"/>
      <c r="N43" s="17"/>
      <c r="O43" s="18"/>
    </row>
    <row r="44" spans="1:17" s="23" customFormat="1" ht="21.75" customHeight="1" thickBot="1">
      <c r="A44" s="23" t="s">
        <v>39</v>
      </c>
      <c r="B44" s="24"/>
      <c r="C44" s="24"/>
      <c r="D44" s="39">
        <f>+D21+D42</f>
        <v>459514166922</v>
      </c>
      <c r="E44" s="26"/>
      <c r="F44" s="39">
        <f>+F21+F42</f>
        <v>418171964733</v>
      </c>
      <c r="G44" s="11"/>
      <c r="H44" s="39">
        <f>+H21+H42</f>
        <v>269956054282</v>
      </c>
      <c r="I44" s="11"/>
      <c r="J44" s="39">
        <f>+J21+J42</f>
        <v>236131697051</v>
      </c>
      <c r="K44" s="26"/>
      <c r="L44" s="40"/>
      <c r="M44" s="17"/>
      <c r="N44" s="17"/>
      <c r="O44" s="18"/>
    </row>
    <row r="45" spans="1:17" ht="21.75" customHeight="1" thickTop="1">
      <c r="A45" s="136" t="s">
        <v>0</v>
      </c>
      <c r="B45" s="136"/>
      <c r="C45" s="136"/>
      <c r="D45" s="136"/>
      <c r="E45" s="136"/>
      <c r="F45" s="136"/>
      <c r="G45" s="136"/>
      <c r="H45" s="1"/>
      <c r="I45" s="1"/>
      <c r="J45" s="1"/>
      <c r="K45" s="1"/>
      <c r="M45" s="17"/>
      <c r="N45" s="17"/>
      <c r="O45" s="18"/>
    </row>
    <row r="46" spans="1:17" ht="21.75" customHeight="1">
      <c r="A46" s="136" t="s">
        <v>1</v>
      </c>
      <c r="B46" s="136"/>
      <c r="C46" s="136"/>
      <c r="D46" s="136"/>
      <c r="E46" s="136"/>
      <c r="F46" s="136"/>
      <c r="G46" s="136"/>
      <c r="H46" s="1"/>
      <c r="I46" s="1"/>
      <c r="J46" s="1"/>
      <c r="K46" s="1"/>
      <c r="M46" s="17"/>
      <c r="N46" s="17"/>
      <c r="O46" s="18"/>
    </row>
    <row r="47" spans="1:17" ht="23.25">
      <c r="D47" s="16"/>
      <c r="E47" s="16"/>
      <c r="F47" s="16"/>
      <c r="G47" s="41"/>
      <c r="H47" s="16"/>
      <c r="I47" s="41"/>
      <c r="J47" s="16"/>
      <c r="K47" s="16"/>
      <c r="L47" s="14"/>
      <c r="M47" s="17"/>
      <c r="N47" s="17"/>
      <c r="O47" s="18"/>
      <c r="P47" s="28"/>
    </row>
    <row r="48" spans="1:17" ht="21.75" customHeight="1">
      <c r="A48" s="1"/>
      <c r="B48" s="24"/>
      <c r="C48" s="24"/>
      <c r="D48" s="134" t="s">
        <v>2</v>
      </c>
      <c r="E48" s="134"/>
      <c r="F48" s="134"/>
      <c r="G48" s="23"/>
      <c r="H48" s="134" t="s">
        <v>3</v>
      </c>
      <c r="I48" s="134"/>
      <c r="J48" s="134"/>
      <c r="K48" s="5"/>
      <c r="M48" s="17"/>
      <c r="N48" s="17"/>
      <c r="O48" s="18"/>
    </row>
    <row r="49" spans="1:17" ht="21.75" customHeight="1">
      <c r="D49" s="137" t="s">
        <v>4</v>
      </c>
      <c r="E49" s="137"/>
      <c r="F49" s="137"/>
      <c r="G49" s="8"/>
      <c r="H49" s="137" t="s">
        <v>4</v>
      </c>
      <c r="I49" s="137"/>
      <c r="J49" s="137"/>
      <c r="K49" s="3"/>
      <c r="L49" s="42"/>
      <c r="M49" s="17"/>
      <c r="N49" s="17"/>
      <c r="O49" s="18"/>
      <c r="P49" s="9"/>
    </row>
    <row r="50" spans="1:17" ht="21.75" customHeight="1">
      <c r="A50" s="43" t="s">
        <v>40</v>
      </c>
      <c r="B50" s="6" t="s">
        <v>6</v>
      </c>
      <c r="D50" s="7">
        <v>2566</v>
      </c>
      <c r="E50" s="7"/>
      <c r="F50" s="105">
        <v>2565</v>
      </c>
      <c r="G50" s="8"/>
      <c r="H50" s="7">
        <v>2566</v>
      </c>
      <c r="I50" s="7"/>
      <c r="J50" s="105">
        <v>2565</v>
      </c>
      <c r="K50" s="7"/>
      <c r="L50" s="42"/>
      <c r="M50" s="17"/>
      <c r="N50" s="17"/>
      <c r="O50" s="18"/>
      <c r="P50" s="9"/>
    </row>
    <row r="51" spans="1:17" ht="22.7" customHeight="1">
      <c r="A51" s="1"/>
      <c r="D51" s="135" t="s">
        <v>7</v>
      </c>
      <c r="E51" s="135"/>
      <c r="F51" s="135"/>
      <c r="G51" s="135"/>
      <c r="H51" s="135"/>
      <c r="I51" s="135"/>
      <c r="J51" s="135"/>
      <c r="K51" s="6"/>
      <c r="L51" s="42"/>
      <c r="M51" s="17"/>
      <c r="N51" s="17"/>
      <c r="O51" s="18"/>
      <c r="P51" s="44"/>
    </row>
    <row r="52" spans="1:17" ht="23.25">
      <c r="A52" s="121" t="s">
        <v>41</v>
      </c>
      <c r="D52" s="13"/>
      <c r="E52" s="13"/>
      <c r="F52" s="13"/>
      <c r="G52" s="7"/>
      <c r="H52" s="13"/>
      <c r="I52" s="7"/>
      <c r="J52" s="13"/>
      <c r="K52" s="13"/>
      <c r="L52" s="14"/>
      <c r="M52" s="17"/>
      <c r="N52" s="17"/>
      <c r="O52" s="18"/>
      <c r="P52" s="45"/>
    </row>
    <row r="53" spans="1:17" ht="23.25">
      <c r="A53" s="103" t="s">
        <v>42</v>
      </c>
      <c r="B53" s="6" t="s">
        <v>43</v>
      </c>
      <c r="D53" s="46">
        <v>4400000000</v>
      </c>
      <c r="E53" s="46"/>
      <c r="F53" s="15">
        <v>6669000000</v>
      </c>
      <c r="G53" s="46"/>
      <c r="H53" s="100">
        <v>3500000000</v>
      </c>
      <c r="I53" s="21"/>
      <c r="J53" s="15">
        <v>6500000000</v>
      </c>
      <c r="K53" s="15"/>
      <c r="M53" s="27"/>
      <c r="N53" s="17"/>
      <c r="O53" s="27"/>
    </row>
    <row r="54" spans="1:17" ht="23.25">
      <c r="A54" s="103" t="s">
        <v>44</v>
      </c>
      <c r="B54" s="6">
        <v>5</v>
      </c>
      <c r="D54" s="46">
        <v>389200000</v>
      </c>
      <c r="E54" s="46"/>
      <c r="F54" s="15">
        <v>0</v>
      </c>
      <c r="G54" s="46"/>
      <c r="H54" s="15">
        <v>389200000</v>
      </c>
      <c r="I54" s="47"/>
      <c r="J54" s="15">
        <v>0</v>
      </c>
      <c r="K54" s="15"/>
      <c r="M54" s="27"/>
      <c r="N54" s="17"/>
      <c r="O54" s="27"/>
    </row>
    <row r="55" spans="1:17" ht="23.25">
      <c r="A55" s="103" t="s">
        <v>45</v>
      </c>
      <c r="B55" s="6" t="s">
        <v>12</v>
      </c>
      <c r="D55" s="46">
        <v>9390767358</v>
      </c>
      <c r="E55" s="46"/>
      <c r="F55" s="15">
        <v>7484124602</v>
      </c>
      <c r="G55" s="46"/>
      <c r="H55" s="19">
        <v>0</v>
      </c>
      <c r="I55" s="47"/>
      <c r="J55" s="15">
        <v>0</v>
      </c>
      <c r="K55" s="15"/>
      <c r="M55" s="18"/>
      <c r="N55" s="27"/>
      <c r="O55" s="18"/>
    </row>
    <row r="56" spans="1:17" ht="23.25">
      <c r="A56" s="107" t="s">
        <v>46</v>
      </c>
      <c r="B56" s="6">
        <v>22</v>
      </c>
      <c r="D56" s="46">
        <v>7414528895</v>
      </c>
      <c r="E56" s="46"/>
      <c r="F56" s="15">
        <v>7736420223</v>
      </c>
      <c r="G56" s="46"/>
      <c r="H56" s="19">
        <v>0</v>
      </c>
      <c r="I56" s="46"/>
      <c r="J56" s="15">
        <v>0</v>
      </c>
      <c r="K56" s="15"/>
      <c r="M56" s="18"/>
      <c r="N56" s="48"/>
      <c r="O56" s="18"/>
      <c r="Q56" s="49"/>
    </row>
    <row r="57" spans="1:17" ht="23.25">
      <c r="A57" s="103" t="s">
        <v>47</v>
      </c>
      <c r="B57" s="6" t="s">
        <v>12</v>
      </c>
      <c r="D57" s="46">
        <v>5759074670</v>
      </c>
      <c r="E57" s="46"/>
      <c r="F57" s="15">
        <v>5682731451</v>
      </c>
      <c r="G57" s="46"/>
      <c r="H57" s="16">
        <v>2024392666</v>
      </c>
      <c r="I57" s="47"/>
      <c r="J57" s="15">
        <v>1794378145</v>
      </c>
      <c r="K57" s="109"/>
      <c r="M57" s="18"/>
      <c r="N57" s="27"/>
      <c r="O57" s="18"/>
    </row>
    <row r="58" spans="1:17" ht="22.5">
      <c r="A58" s="107" t="s">
        <v>48</v>
      </c>
      <c r="D58" s="35"/>
      <c r="E58" s="35"/>
      <c r="F58" s="35"/>
      <c r="G58" s="21"/>
      <c r="H58" s="19"/>
      <c r="I58" s="21"/>
      <c r="J58" s="35"/>
      <c r="K58" s="35"/>
      <c r="M58" s="50"/>
      <c r="N58" s="50"/>
      <c r="O58" s="50"/>
    </row>
    <row r="59" spans="1:17" ht="23.25">
      <c r="A59" s="103" t="s">
        <v>49</v>
      </c>
      <c r="B59" s="6" t="s">
        <v>43</v>
      </c>
      <c r="D59" s="35">
        <v>23138756161</v>
      </c>
      <c r="E59" s="35"/>
      <c r="F59" s="15">
        <v>18134334097</v>
      </c>
      <c r="G59" s="21"/>
      <c r="H59" s="15">
        <v>17609310389</v>
      </c>
      <c r="I59" s="51"/>
      <c r="J59" s="2">
        <v>12594683785</v>
      </c>
      <c r="K59" s="15"/>
      <c r="M59" s="18"/>
      <c r="N59" s="50"/>
      <c r="O59" s="18"/>
    </row>
    <row r="60" spans="1:17" ht="23.25">
      <c r="A60" s="107" t="s">
        <v>50</v>
      </c>
      <c r="B60" s="6">
        <v>22</v>
      </c>
      <c r="D60" s="35">
        <v>252599326</v>
      </c>
      <c r="E60" s="46"/>
      <c r="F60" s="15">
        <v>363390823</v>
      </c>
      <c r="G60" s="46"/>
      <c r="H60" s="15">
        <v>85301694</v>
      </c>
      <c r="I60" s="46"/>
      <c r="J60" s="15">
        <v>103409832</v>
      </c>
      <c r="K60" s="15"/>
      <c r="M60" s="18"/>
      <c r="N60" s="48"/>
      <c r="O60" s="18"/>
      <c r="Q60" s="49"/>
    </row>
    <row r="61" spans="1:17" ht="23.25">
      <c r="A61" s="103" t="s">
        <v>51</v>
      </c>
      <c r="B61" s="6" t="s">
        <v>43</v>
      </c>
      <c r="D61" s="35">
        <v>14497576730</v>
      </c>
      <c r="E61" s="46"/>
      <c r="F61" s="15">
        <v>4499051551</v>
      </c>
      <c r="G61" s="46"/>
      <c r="H61" s="15">
        <v>14497576730</v>
      </c>
      <c r="I61" s="51"/>
      <c r="J61" s="2">
        <v>4499051551</v>
      </c>
      <c r="K61" s="15"/>
      <c r="M61" s="18"/>
      <c r="N61" s="48"/>
      <c r="O61" s="18"/>
      <c r="Q61" s="49"/>
    </row>
    <row r="62" spans="1:17" ht="23.25">
      <c r="A62" s="103" t="s">
        <v>52</v>
      </c>
      <c r="D62" s="35">
        <v>44589792</v>
      </c>
      <c r="E62" s="46"/>
      <c r="F62" s="15">
        <v>59661947</v>
      </c>
      <c r="G62" s="46"/>
      <c r="H62" s="19">
        <v>0</v>
      </c>
      <c r="I62" s="46"/>
      <c r="J62" s="15">
        <v>0</v>
      </c>
      <c r="K62" s="15"/>
      <c r="M62" s="48"/>
      <c r="N62" s="48"/>
      <c r="O62" s="48"/>
    </row>
    <row r="63" spans="1:17" ht="23.25">
      <c r="A63" s="103" t="s">
        <v>53</v>
      </c>
      <c r="B63" s="6">
        <v>22</v>
      </c>
      <c r="D63" s="35">
        <v>335918143</v>
      </c>
      <c r="E63" s="35"/>
      <c r="F63" s="15">
        <v>1239616548</v>
      </c>
      <c r="G63" s="21"/>
      <c r="H63" s="15">
        <v>879322</v>
      </c>
      <c r="I63" s="21"/>
      <c r="J63" s="15">
        <v>148313351</v>
      </c>
      <c r="K63" s="15"/>
      <c r="M63" s="18"/>
      <c r="N63" s="50"/>
      <c r="O63" s="18"/>
    </row>
    <row r="64" spans="1:17" s="23" customFormat="1" ht="23.25">
      <c r="A64" s="104" t="s">
        <v>54</v>
      </c>
      <c r="B64" s="24"/>
      <c r="C64" s="24"/>
      <c r="D64" s="25">
        <f>SUM(D53:D63)</f>
        <v>65623011075</v>
      </c>
      <c r="E64" s="26"/>
      <c r="F64" s="25">
        <f>SUM(F53:F63)</f>
        <v>51868331242</v>
      </c>
      <c r="G64" s="11"/>
      <c r="H64" s="25">
        <f>SUM(H53:H63)</f>
        <v>38106660801</v>
      </c>
      <c r="I64" s="11"/>
      <c r="J64" s="25">
        <f>SUM(J53:J63)</f>
        <v>25639836664</v>
      </c>
      <c r="K64" s="26"/>
      <c r="L64" s="51"/>
      <c r="M64" s="17"/>
      <c r="N64" s="17"/>
      <c r="O64" s="27"/>
      <c r="P64" s="52"/>
    </row>
    <row r="65" spans="1:17" ht="23.25">
      <c r="D65" s="34"/>
      <c r="E65" s="34"/>
      <c r="F65" s="34"/>
      <c r="G65" s="2"/>
      <c r="H65" s="34"/>
      <c r="I65" s="2"/>
      <c r="J65" s="34"/>
      <c r="K65" s="34"/>
      <c r="L65" s="14"/>
      <c r="M65" s="17"/>
      <c r="N65" s="17"/>
      <c r="O65" s="27"/>
      <c r="P65" s="28"/>
    </row>
    <row r="66" spans="1:17" s="23" customFormat="1" ht="21.75" customHeight="1">
      <c r="A66" s="121" t="s">
        <v>55</v>
      </c>
      <c r="B66" s="6"/>
      <c r="C66" s="6"/>
      <c r="D66" s="26"/>
      <c r="E66" s="26"/>
      <c r="F66" s="26"/>
      <c r="G66" s="26"/>
      <c r="H66" s="26"/>
      <c r="I66" s="26"/>
      <c r="J66" s="26"/>
      <c r="K66" s="26"/>
      <c r="L66" s="2"/>
      <c r="M66" s="17"/>
      <c r="N66" s="17"/>
      <c r="O66" s="27"/>
      <c r="P66" s="52"/>
    </row>
    <row r="67" spans="1:17" s="23" customFormat="1" ht="23.25">
      <c r="A67" s="107" t="s">
        <v>46</v>
      </c>
      <c r="B67" s="6">
        <v>22</v>
      </c>
      <c r="C67" s="6"/>
      <c r="D67" s="21">
        <v>264559440</v>
      </c>
      <c r="E67" s="26"/>
      <c r="F67" s="15">
        <v>3199097708</v>
      </c>
      <c r="G67" s="26"/>
      <c r="H67" s="21">
        <v>0</v>
      </c>
      <c r="I67" s="21"/>
      <c r="J67" s="15">
        <v>0</v>
      </c>
      <c r="K67" s="15"/>
      <c r="L67" s="2"/>
      <c r="M67" s="17"/>
      <c r="N67" s="17"/>
      <c r="O67" s="27"/>
      <c r="P67" s="52"/>
      <c r="Q67" s="53"/>
    </row>
    <row r="68" spans="1:17" s="23" customFormat="1" ht="23.25">
      <c r="A68" s="103" t="s">
        <v>56</v>
      </c>
      <c r="B68" s="6">
        <v>22</v>
      </c>
      <c r="C68" s="6"/>
      <c r="D68" s="21">
        <v>1990820812</v>
      </c>
      <c r="E68" s="31"/>
      <c r="F68" s="15">
        <v>1392113567</v>
      </c>
      <c r="G68" s="31"/>
      <c r="H68" s="31">
        <v>137550400</v>
      </c>
      <c r="I68" s="35"/>
      <c r="J68" s="15">
        <v>173667500</v>
      </c>
      <c r="K68" s="15"/>
      <c r="L68" s="2"/>
      <c r="M68" s="17"/>
      <c r="N68" s="17"/>
      <c r="O68" s="27"/>
      <c r="P68" s="52"/>
      <c r="Q68" s="53"/>
    </row>
    <row r="69" spans="1:17" s="23" customFormat="1" ht="21.75" customHeight="1">
      <c r="A69" s="103" t="s">
        <v>57</v>
      </c>
      <c r="B69" s="6">
        <v>22</v>
      </c>
      <c r="C69" s="6"/>
      <c r="D69" s="21">
        <v>1547095733</v>
      </c>
      <c r="E69" s="26"/>
      <c r="F69" s="21">
        <v>1662769161</v>
      </c>
      <c r="G69" s="26"/>
      <c r="H69" s="21">
        <v>117080549</v>
      </c>
      <c r="I69" s="26"/>
      <c r="J69" s="21">
        <v>0</v>
      </c>
      <c r="K69" s="26"/>
      <c r="L69" s="2"/>
      <c r="M69" s="17"/>
      <c r="N69" s="17"/>
      <c r="O69" s="27"/>
      <c r="P69" s="52"/>
    </row>
    <row r="70" spans="1:17" s="23" customFormat="1" ht="23.25">
      <c r="A70" s="103" t="s">
        <v>48</v>
      </c>
      <c r="B70" s="6" t="s">
        <v>43</v>
      </c>
      <c r="C70" s="6"/>
      <c r="D70" s="21">
        <v>120159900042</v>
      </c>
      <c r="E70" s="26"/>
      <c r="F70" s="15">
        <v>119176391004</v>
      </c>
      <c r="G70" s="26"/>
      <c r="H70" s="21">
        <v>6998708801</v>
      </c>
      <c r="I70" s="21"/>
      <c r="J70" s="15">
        <v>11985545493</v>
      </c>
      <c r="K70" s="15"/>
      <c r="L70" s="2"/>
      <c r="M70" s="17"/>
      <c r="N70" s="17"/>
      <c r="O70" s="27"/>
      <c r="P70" s="52"/>
      <c r="Q70" s="53"/>
    </row>
    <row r="71" spans="1:17" s="23" customFormat="1" ht="23.25">
      <c r="A71" s="103" t="s">
        <v>58</v>
      </c>
      <c r="B71" s="6">
        <v>22</v>
      </c>
      <c r="C71" s="6"/>
      <c r="D71" s="21">
        <v>1581710912</v>
      </c>
      <c r="E71" s="31"/>
      <c r="F71" s="15">
        <v>1791365776</v>
      </c>
      <c r="G71" s="31"/>
      <c r="H71" s="31">
        <v>49251049</v>
      </c>
      <c r="I71" s="35"/>
      <c r="J71" s="15">
        <v>113850092</v>
      </c>
      <c r="K71" s="15"/>
      <c r="L71" s="2"/>
      <c r="M71" s="17"/>
      <c r="N71" s="17"/>
      <c r="O71" s="27"/>
      <c r="P71" s="52"/>
      <c r="Q71" s="53"/>
    </row>
    <row r="72" spans="1:17" s="23" customFormat="1" ht="23.25">
      <c r="A72" s="103" t="s">
        <v>59</v>
      </c>
      <c r="B72" s="6" t="s">
        <v>43</v>
      </c>
      <c r="C72" s="6"/>
      <c r="D72" s="21">
        <v>120429722533</v>
      </c>
      <c r="E72" s="31"/>
      <c r="F72" s="15">
        <v>99931305093</v>
      </c>
      <c r="G72" s="31"/>
      <c r="H72" s="21">
        <v>120429722533</v>
      </c>
      <c r="I72" s="35"/>
      <c r="J72" s="15">
        <v>99931305093</v>
      </c>
      <c r="K72" s="15"/>
      <c r="L72" s="2"/>
      <c r="M72" s="17"/>
      <c r="N72" s="17"/>
      <c r="O72" s="27"/>
      <c r="P72" s="52"/>
      <c r="Q72" s="53"/>
    </row>
    <row r="73" spans="1:17" s="23" customFormat="1" ht="23.25">
      <c r="A73" s="103" t="s">
        <v>60</v>
      </c>
      <c r="B73" s="6">
        <v>19</v>
      </c>
      <c r="C73" s="6"/>
      <c r="D73" s="21">
        <v>1899403583</v>
      </c>
      <c r="E73" s="31"/>
      <c r="F73" s="15">
        <v>1683712798</v>
      </c>
      <c r="G73" s="31"/>
      <c r="H73" s="31">
        <v>0</v>
      </c>
      <c r="I73" s="35"/>
      <c r="J73" s="15">
        <v>43756158</v>
      </c>
      <c r="K73" s="15"/>
      <c r="L73" s="2"/>
      <c r="M73" s="17"/>
      <c r="N73" s="17"/>
      <c r="O73" s="27"/>
      <c r="P73" s="52"/>
      <c r="Q73" s="53"/>
    </row>
    <row r="74" spans="1:17" s="23" customFormat="1" ht="23.25">
      <c r="A74" s="103" t="s">
        <v>61</v>
      </c>
      <c r="B74" s="6"/>
      <c r="C74" s="6"/>
      <c r="D74" s="21">
        <v>735454812</v>
      </c>
      <c r="E74" s="31"/>
      <c r="F74" s="15">
        <v>677781912</v>
      </c>
      <c r="G74" s="31"/>
      <c r="H74" s="31">
        <v>386774354</v>
      </c>
      <c r="I74" s="35"/>
      <c r="J74" s="15">
        <v>344085002</v>
      </c>
      <c r="K74" s="114"/>
      <c r="L74" s="2"/>
      <c r="M74" s="17"/>
      <c r="N74" s="17"/>
      <c r="O74" s="27"/>
      <c r="P74" s="52"/>
      <c r="Q74" s="53"/>
    </row>
    <row r="75" spans="1:17" s="23" customFormat="1" ht="23.25">
      <c r="A75" s="103" t="s">
        <v>62</v>
      </c>
      <c r="B75" s="6">
        <v>14</v>
      </c>
      <c r="C75" s="6"/>
      <c r="D75" s="21">
        <v>1178030331</v>
      </c>
      <c r="E75" s="31"/>
      <c r="F75" s="15">
        <v>987560005</v>
      </c>
      <c r="G75" s="31"/>
      <c r="H75" s="19">
        <v>0</v>
      </c>
      <c r="I75" s="35"/>
      <c r="J75" s="15">
        <v>0</v>
      </c>
      <c r="K75" s="15"/>
      <c r="L75" s="2"/>
      <c r="M75" s="17"/>
      <c r="N75" s="17"/>
      <c r="O75" s="27"/>
      <c r="P75" s="52"/>
      <c r="Q75" s="53"/>
    </row>
    <row r="76" spans="1:17" s="23" customFormat="1" ht="21.75" customHeight="1">
      <c r="A76" s="104" t="s">
        <v>63</v>
      </c>
      <c r="B76" s="24"/>
      <c r="C76" s="24"/>
      <c r="D76" s="25">
        <f>SUM(D67:D75)</f>
        <v>249786698198</v>
      </c>
      <c r="E76" s="26"/>
      <c r="F76" s="25">
        <f>SUM(F67:F75)</f>
        <v>230502097024</v>
      </c>
      <c r="G76" s="11"/>
      <c r="H76" s="25">
        <f>SUM(H67:H75)</f>
        <v>128119087686</v>
      </c>
      <c r="I76" s="11"/>
      <c r="J76" s="25">
        <f>SUM(J67:J75)</f>
        <v>112592209338</v>
      </c>
      <c r="K76" s="26"/>
      <c r="L76" s="2"/>
      <c r="M76" s="17"/>
      <c r="N76" s="17"/>
      <c r="O76" s="27"/>
    </row>
    <row r="77" spans="1:17" s="23" customFormat="1" ht="23.25">
      <c r="A77" s="104"/>
      <c r="B77" s="24"/>
      <c r="C77" s="24"/>
      <c r="D77" s="26"/>
      <c r="E77" s="26"/>
      <c r="F77" s="26"/>
      <c r="G77" s="26"/>
      <c r="H77" s="26"/>
      <c r="I77" s="26"/>
      <c r="J77" s="26"/>
      <c r="K77" s="26"/>
      <c r="L77" s="2"/>
      <c r="M77" s="27"/>
      <c r="N77" s="27"/>
      <c r="O77" s="27"/>
    </row>
    <row r="78" spans="1:17" s="23" customFormat="1" ht="21.75" customHeight="1">
      <c r="A78" s="104" t="s">
        <v>64</v>
      </c>
      <c r="B78" s="24"/>
      <c r="C78" s="24"/>
      <c r="D78" s="54">
        <f>D64+D76</f>
        <v>315409709273</v>
      </c>
      <c r="E78" s="26"/>
      <c r="F78" s="54">
        <f>F64+F76</f>
        <v>282370428266</v>
      </c>
      <c r="G78" s="11"/>
      <c r="H78" s="54">
        <f>H64+H76</f>
        <v>166225748487</v>
      </c>
      <c r="I78" s="11"/>
      <c r="J78" s="54">
        <f>J64+J76</f>
        <v>138232046002</v>
      </c>
      <c r="K78" s="26"/>
      <c r="L78" s="53"/>
      <c r="M78" s="27"/>
      <c r="N78" s="27"/>
      <c r="O78" s="27"/>
    </row>
    <row r="79" spans="1:17" s="23" customFormat="1" ht="23.25">
      <c r="B79" s="24"/>
      <c r="C79" s="24"/>
      <c r="D79" s="26"/>
      <c r="E79" s="26"/>
      <c r="F79" s="26"/>
      <c r="G79" s="11"/>
      <c r="H79" s="26"/>
      <c r="I79" s="11"/>
      <c r="J79" s="26"/>
      <c r="K79" s="26"/>
      <c r="L79" s="11"/>
      <c r="M79" s="27"/>
      <c r="N79" s="27"/>
      <c r="O79" s="27"/>
    </row>
    <row r="80" spans="1:17" ht="21.75" customHeight="1">
      <c r="A80" s="136" t="s">
        <v>0</v>
      </c>
      <c r="B80" s="136"/>
      <c r="C80" s="136"/>
      <c r="D80" s="136"/>
      <c r="E80" s="136"/>
      <c r="F80" s="136"/>
      <c r="G80" s="136"/>
      <c r="H80" s="1"/>
      <c r="I80" s="1"/>
      <c r="J80" s="1"/>
      <c r="K80" s="1"/>
      <c r="M80" s="27"/>
      <c r="N80" s="27"/>
      <c r="O80" s="27"/>
    </row>
    <row r="81" spans="1:21" ht="21.75" customHeight="1">
      <c r="A81" s="136" t="s">
        <v>1</v>
      </c>
      <c r="B81" s="136"/>
      <c r="C81" s="136"/>
      <c r="D81" s="136"/>
      <c r="E81" s="136"/>
      <c r="F81" s="136"/>
      <c r="G81" s="136"/>
      <c r="H81" s="1"/>
      <c r="I81" s="1"/>
      <c r="J81" s="1"/>
      <c r="K81" s="1"/>
      <c r="M81" s="27"/>
      <c r="N81" s="27"/>
      <c r="O81" s="27"/>
    </row>
    <row r="82" spans="1:21" ht="23.25">
      <c r="D82" s="16"/>
      <c r="E82" s="16"/>
      <c r="F82" s="16"/>
      <c r="G82" s="41"/>
      <c r="H82" s="16"/>
      <c r="I82" s="41"/>
      <c r="J82" s="16"/>
      <c r="K82" s="16"/>
      <c r="L82" s="14"/>
      <c r="M82" s="27"/>
      <c r="N82" s="27"/>
      <c r="O82" s="27"/>
      <c r="P82" s="28"/>
    </row>
    <row r="83" spans="1:21" ht="21.75" customHeight="1">
      <c r="A83" s="1"/>
      <c r="B83" s="24"/>
      <c r="C83" s="24"/>
      <c r="D83" s="134" t="s">
        <v>2</v>
      </c>
      <c r="E83" s="134"/>
      <c r="F83" s="134"/>
      <c r="G83" s="23"/>
      <c r="H83" s="134" t="s">
        <v>3</v>
      </c>
      <c r="I83" s="134"/>
      <c r="J83" s="134"/>
      <c r="K83" s="5"/>
      <c r="M83" s="27"/>
      <c r="N83" s="27"/>
      <c r="O83" s="27"/>
    </row>
    <row r="84" spans="1:21" ht="21.75" customHeight="1">
      <c r="A84" s="10"/>
      <c r="D84" s="137" t="s">
        <v>4</v>
      </c>
      <c r="E84" s="137"/>
      <c r="F84" s="137"/>
      <c r="G84" s="8"/>
      <c r="H84" s="137" t="s">
        <v>4</v>
      </c>
      <c r="I84" s="137"/>
      <c r="J84" s="137"/>
      <c r="K84" s="3"/>
      <c r="L84" s="42"/>
      <c r="M84" s="27"/>
      <c r="N84" s="27"/>
      <c r="O84" s="27"/>
      <c r="P84" s="9"/>
    </row>
    <row r="85" spans="1:21" ht="23.25">
      <c r="A85" s="124" t="s">
        <v>40</v>
      </c>
      <c r="B85" s="6" t="s">
        <v>6</v>
      </c>
      <c r="D85" s="7">
        <v>2566</v>
      </c>
      <c r="E85" s="7"/>
      <c r="F85" s="105">
        <v>2565</v>
      </c>
      <c r="G85" s="8"/>
      <c r="H85" s="7">
        <v>2566</v>
      </c>
      <c r="I85" s="7"/>
      <c r="J85" s="105">
        <v>2565</v>
      </c>
      <c r="K85" s="7"/>
      <c r="L85" s="42"/>
      <c r="M85" s="27"/>
      <c r="N85" s="27"/>
      <c r="O85" s="27"/>
      <c r="P85" s="9"/>
    </row>
    <row r="86" spans="1:21" ht="21.75" customHeight="1">
      <c r="A86" s="1"/>
      <c r="D86" s="135" t="s">
        <v>7</v>
      </c>
      <c r="E86" s="135"/>
      <c r="F86" s="135"/>
      <c r="G86" s="135"/>
      <c r="H86" s="135"/>
      <c r="I86" s="135"/>
      <c r="J86" s="135"/>
      <c r="K86" s="6"/>
      <c r="L86" s="42"/>
      <c r="M86" s="27"/>
      <c r="N86" s="27"/>
      <c r="O86" s="27"/>
      <c r="P86" s="44"/>
    </row>
    <row r="87" spans="1:21" ht="21.75" customHeight="1">
      <c r="A87" s="121" t="s">
        <v>65</v>
      </c>
      <c r="D87" s="2"/>
      <c r="E87" s="21"/>
      <c r="F87" s="2"/>
      <c r="G87" s="2"/>
      <c r="H87" s="2"/>
      <c r="I87" s="2"/>
      <c r="J87" s="2"/>
      <c r="K87" s="2"/>
      <c r="L87" s="11"/>
      <c r="M87" s="27"/>
      <c r="N87" s="27"/>
      <c r="O87" s="27"/>
      <c r="P87" s="28"/>
      <c r="Q87" s="28"/>
    </row>
    <row r="88" spans="1:21" ht="21.75" customHeight="1">
      <c r="A88" s="103" t="s">
        <v>66</v>
      </c>
      <c r="B88" s="112"/>
      <c r="D88" s="2"/>
      <c r="E88" s="21"/>
      <c r="F88" s="2"/>
      <c r="G88" s="2"/>
      <c r="H88" s="2"/>
      <c r="I88" s="2"/>
      <c r="J88" s="2"/>
      <c r="K88" s="2"/>
      <c r="M88" s="17"/>
      <c r="N88" s="17"/>
      <c r="O88" s="27"/>
      <c r="P88" s="28"/>
      <c r="Q88" s="28"/>
    </row>
    <row r="89" spans="1:21" ht="21.75" customHeight="1">
      <c r="A89" s="103" t="s">
        <v>67</v>
      </c>
      <c r="B89" s="112"/>
      <c r="D89" s="2"/>
      <c r="E89" s="21"/>
      <c r="F89" s="2"/>
      <c r="G89" s="2"/>
      <c r="H89" s="2"/>
      <c r="I89" s="2"/>
      <c r="J89" s="2"/>
      <c r="K89" s="2"/>
      <c r="M89" s="17"/>
      <c r="N89" s="17"/>
      <c r="O89" s="27"/>
      <c r="P89" s="28"/>
      <c r="Q89" s="28"/>
    </row>
    <row r="90" spans="1:21" ht="21.75" customHeight="1" thickBot="1">
      <c r="A90" s="125" t="s">
        <v>68</v>
      </c>
      <c r="B90" s="112"/>
      <c r="D90" s="55">
        <v>11733150000</v>
      </c>
      <c r="E90" s="35"/>
      <c r="F90" s="106">
        <v>11733150000</v>
      </c>
      <c r="H90" s="106">
        <v>11733150000</v>
      </c>
      <c r="J90" s="106">
        <v>11733150000</v>
      </c>
      <c r="K90" s="35"/>
      <c r="M90" s="17"/>
      <c r="N90" s="17"/>
      <c r="O90" s="27"/>
    </row>
    <row r="91" spans="1:21" ht="21.75" customHeight="1" thickTop="1">
      <c r="A91" s="103" t="s">
        <v>69</v>
      </c>
      <c r="B91" s="112"/>
      <c r="D91" s="35"/>
      <c r="E91" s="35"/>
      <c r="F91" s="35"/>
      <c r="H91" s="35"/>
      <c r="J91" s="35"/>
      <c r="K91" s="35"/>
      <c r="M91" s="17"/>
      <c r="N91" s="17"/>
      <c r="O91" s="27"/>
    </row>
    <row r="92" spans="1:21" ht="21.75" customHeight="1">
      <c r="A92" s="125" t="s">
        <v>68</v>
      </c>
      <c r="B92" s="112"/>
      <c r="D92" s="35">
        <v>11733149998</v>
      </c>
      <c r="E92" s="35"/>
      <c r="F92" s="21">
        <v>11733149998</v>
      </c>
      <c r="H92" s="21">
        <v>11733149998</v>
      </c>
      <c r="J92" s="21">
        <v>11733149998</v>
      </c>
      <c r="K92" s="35"/>
      <c r="M92" s="17"/>
      <c r="N92" s="17"/>
      <c r="O92" s="27"/>
    </row>
    <row r="93" spans="1:21" ht="23.25">
      <c r="A93" s="103" t="s">
        <v>70</v>
      </c>
      <c r="B93" s="112"/>
      <c r="D93" s="35">
        <v>51822145000</v>
      </c>
      <c r="E93" s="35"/>
      <c r="F93" s="35">
        <v>51822145000</v>
      </c>
      <c r="H93" s="35">
        <v>51822145000</v>
      </c>
      <c r="J93" s="35">
        <v>51822145000</v>
      </c>
      <c r="K93" s="35"/>
      <c r="M93" s="17"/>
      <c r="N93" s="56"/>
      <c r="O93" s="27"/>
    </row>
    <row r="94" spans="1:21" ht="23.25">
      <c r="A94" s="107" t="s">
        <v>71</v>
      </c>
      <c r="B94" s="112"/>
      <c r="D94" s="21">
        <v>-316239277</v>
      </c>
      <c r="E94" s="57"/>
      <c r="F94" s="21">
        <v>-316239277</v>
      </c>
      <c r="H94" s="19">
        <v>0</v>
      </c>
      <c r="J94" s="32">
        <v>0</v>
      </c>
      <c r="K94" s="57"/>
      <c r="M94" s="56"/>
      <c r="N94" s="18"/>
      <c r="O94" s="56"/>
    </row>
    <row r="95" spans="1:21" ht="23.25">
      <c r="A95" s="103" t="s">
        <v>72</v>
      </c>
      <c r="B95" s="112"/>
      <c r="D95" s="57"/>
      <c r="E95" s="57"/>
      <c r="F95" s="57"/>
      <c r="H95" s="21"/>
      <c r="J95" s="57"/>
      <c r="K95" s="21"/>
      <c r="M95" s="18"/>
      <c r="N95" s="18"/>
      <c r="O95" s="18"/>
      <c r="Q95" s="22"/>
      <c r="R95" s="22"/>
      <c r="S95" s="22"/>
      <c r="T95" s="22"/>
      <c r="U95" s="22"/>
    </row>
    <row r="96" spans="1:21" ht="23.25">
      <c r="A96" s="107" t="s">
        <v>73</v>
      </c>
      <c r="B96" s="112"/>
      <c r="D96" s="57">
        <v>1489752705</v>
      </c>
      <c r="E96" s="57"/>
      <c r="F96" s="57">
        <v>1489752705</v>
      </c>
      <c r="H96" s="19">
        <v>0</v>
      </c>
      <c r="J96" s="32">
        <v>0</v>
      </c>
      <c r="K96" s="21"/>
      <c r="M96" s="18"/>
      <c r="N96" s="18"/>
      <c r="O96" s="18"/>
      <c r="Q96" s="22"/>
      <c r="R96" s="22"/>
      <c r="S96" s="22"/>
      <c r="T96" s="22"/>
      <c r="U96" s="22"/>
    </row>
    <row r="97" spans="1:16" ht="23.25">
      <c r="A97" s="103" t="s">
        <v>74</v>
      </c>
      <c r="B97" s="112"/>
      <c r="D97" s="2"/>
      <c r="E97" s="3"/>
      <c r="F97" s="3"/>
      <c r="G97" s="3"/>
      <c r="H97" s="2"/>
      <c r="I97" s="3"/>
      <c r="J97" s="58"/>
      <c r="K97" s="58"/>
      <c r="M97" s="56"/>
      <c r="N97" s="56"/>
      <c r="O97" s="27"/>
    </row>
    <row r="98" spans="1:16" ht="23.25">
      <c r="A98" s="103" t="s">
        <v>75</v>
      </c>
      <c r="B98" s="112"/>
      <c r="D98" s="21"/>
      <c r="E98" s="35"/>
      <c r="F98" s="35"/>
      <c r="H98" s="21"/>
      <c r="J98" s="57"/>
      <c r="K98" s="57"/>
      <c r="M98" s="56"/>
      <c r="N98" s="56"/>
      <c r="O98" s="27"/>
    </row>
    <row r="99" spans="1:16" ht="23.25">
      <c r="A99" s="103" t="s">
        <v>76</v>
      </c>
      <c r="B99" s="6">
        <v>15</v>
      </c>
      <c r="D99" s="35">
        <v>1173315000</v>
      </c>
      <c r="E99" s="35"/>
      <c r="F99" s="35">
        <v>1173315000</v>
      </c>
      <c r="H99" s="35">
        <v>1173315000</v>
      </c>
      <c r="J99" s="35">
        <v>1173315000</v>
      </c>
      <c r="K99" s="57"/>
      <c r="L99" s="99"/>
      <c r="M99" s="56"/>
      <c r="N99" s="56"/>
      <c r="O99" s="56"/>
    </row>
    <row r="100" spans="1:16" ht="23.25">
      <c r="A100" s="103" t="s">
        <v>77</v>
      </c>
      <c r="D100" s="35">
        <v>49717392559</v>
      </c>
      <c r="E100" s="57"/>
      <c r="F100" s="35">
        <v>41886711113</v>
      </c>
      <c r="H100" s="35">
        <v>39358749892</v>
      </c>
      <c r="J100" s="35">
        <v>33170912831</v>
      </c>
      <c r="K100" s="57"/>
      <c r="M100" s="56"/>
      <c r="N100" s="56"/>
      <c r="O100" s="56"/>
    </row>
    <row r="101" spans="1:16" ht="23.25">
      <c r="A101" s="103" t="s">
        <v>78</v>
      </c>
      <c r="B101" s="6">
        <v>15</v>
      </c>
      <c r="D101" s="35">
        <v>965465985</v>
      </c>
      <c r="E101" s="35"/>
      <c r="F101" s="108">
        <v>2998130158</v>
      </c>
      <c r="H101" s="21">
        <v>-357054095</v>
      </c>
      <c r="J101" s="35">
        <v>128220</v>
      </c>
      <c r="K101" s="21"/>
      <c r="M101" s="18"/>
      <c r="N101" s="18"/>
      <c r="O101" s="18"/>
    </row>
    <row r="102" spans="1:16" ht="23.25">
      <c r="A102" s="104" t="s">
        <v>79</v>
      </c>
      <c r="D102" s="59">
        <f>SUM(D92:D101)</f>
        <v>116584981970</v>
      </c>
      <c r="E102" s="38"/>
      <c r="F102" s="59">
        <f>SUM(F92:F101)</f>
        <v>110786964697</v>
      </c>
      <c r="G102" s="38"/>
      <c r="H102" s="59">
        <f>SUM(H92:H101)</f>
        <v>103730305795</v>
      </c>
      <c r="I102" s="38"/>
      <c r="J102" s="60">
        <f>SUM(J92:J101)</f>
        <v>97899651049</v>
      </c>
      <c r="K102" s="61"/>
      <c r="M102" s="27"/>
      <c r="N102" s="18"/>
      <c r="O102" s="27"/>
    </row>
    <row r="103" spans="1:16" ht="23.25">
      <c r="A103" s="103" t="s">
        <v>80</v>
      </c>
      <c r="D103" s="62">
        <v>27519475679</v>
      </c>
      <c r="E103" s="35"/>
      <c r="F103" s="57">
        <v>25014571770</v>
      </c>
      <c r="H103" s="30">
        <v>0</v>
      </c>
      <c r="J103" s="32">
        <v>0</v>
      </c>
      <c r="K103" s="30"/>
      <c r="M103" s="18"/>
      <c r="N103" s="48"/>
      <c r="O103" s="18"/>
    </row>
    <row r="104" spans="1:16" s="23" customFormat="1" ht="23.25">
      <c r="A104" s="104" t="s">
        <v>81</v>
      </c>
      <c r="B104" s="24"/>
      <c r="C104" s="24"/>
      <c r="D104" s="25">
        <f>+D102+D103</f>
        <v>144104457649</v>
      </c>
      <c r="E104" s="38"/>
      <c r="F104" s="25">
        <f>+F102+F103</f>
        <v>135801536467</v>
      </c>
      <c r="H104" s="25">
        <f>+H102+H103</f>
        <v>103730305795</v>
      </c>
      <c r="J104" s="25">
        <f>+J102+J103</f>
        <v>97899651049</v>
      </c>
      <c r="K104" s="26"/>
      <c r="L104" s="11"/>
      <c r="M104" s="48"/>
      <c r="N104" s="48"/>
      <c r="O104" s="48"/>
    </row>
    <row r="105" spans="1:16" ht="23.25">
      <c r="A105" s="103"/>
      <c r="D105" s="2"/>
      <c r="E105" s="3"/>
      <c r="F105" s="3"/>
      <c r="G105" s="3"/>
      <c r="H105" s="2"/>
      <c r="I105" s="3"/>
      <c r="J105" s="3"/>
      <c r="K105" s="3"/>
      <c r="L105" s="14"/>
      <c r="M105" s="48"/>
      <c r="N105" s="48"/>
      <c r="O105" s="48"/>
      <c r="P105" s="28"/>
    </row>
    <row r="106" spans="1:16" s="23" customFormat="1" ht="24" thickBot="1">
      <c r="A106" s="104" t="s">
        <v>82</v>
      </c>
      <c r="B106" s="24"/>
      <c r="C106" s="24"/>
      <c r="D106" s="39">
        <f>+D78+D104</f>
        <v>459514166922</v>
      </c>
      <c r="E106" s="38"/>
      <c r="F106" s="39">
        <f>+F78+F104</f>
        <v>418171964733</v>
      </c>
      <c r="H106" s="39">
        <f>+H78+H104</f>
        <v>269956054282</v>
      </c>
      <c r="J106" s="63">
        <f>+J78+J104</f>
        <v>236131697051</v>
      </c>
      <c r="K106" s="26"/>
      <c r="L106" s="11"/>
      <c r="M106" s="48"/>
      <c r="N106" s="50"/>
      <c r="O106" s="48"/>
    </row>
    <row r="107" spans="1:16" ht="21.75" customHeight="1" thickTop="1">
      <c r="D107" s="32"/>
      <c r="E107" s="64"/>
      <c r="F107" s="64"/>
      <c r="G107" s="64"/>
      <c r="H107" s="64"/>
      <c r="I107" s="64"/>
      <c r="J107" s="64"/>
      <c r="K107" s="64"/>
      <c r="M107" s="50"/>
      <c r="N107" s="18"/>
      <c r="O107" s="50"/>
    </row>
    <row r="108" spans="1:16" ht="21.75" customHeight="1">
      <c r="D108" s="2"/>
      <c r="F108" s="2"/>
      <c r="G108" s="66"/>
      <c r="H108" s="2"/>
      <c r="I108" s="66"/>
      <c r="J108" s="2"/>
      <c r="M108" s="18"/>
      <c r="N108" s="18"/>
      <c r="O108" s="27"/>
    </row>
    <row r="109" spans="1:16" ht="21.75" customHeight="1">
      <c r="G109" s="66"/>
      <c r="I109" s="66"/>
      <c r="M109" s="18"/>
      <c r="N109" s="18"/>
      <c r="O109" s="18"/>
    </row>
    <row r="110" spans="1:16" ht="21.75" customHeight="1">
      <c r="G110" s="66"/>
      <c r="I110" s="66"/>
      <c r="M110" s="18"/>
      <c r="N110" s="18"/>
      <c r="O110" s="18"/>
    </row>
    <row r="111" spans="1:16" ht="21.75" customHeight="1">
      <c r="G111" s="66"/>
      <c r="I111" s="66"/>
      <c r="M111" s="18"/>
      <c r="N111" s="18"/>
      <c r="O111" s="18"/>
    </row>
    <row r="112" spans="1:16" ht="21.75" customHeight="1">
      <c r="G112" s="66"/>
      <c r="I112" s="66"/>
      <c r="M112" s="18"/>
      <c r="N112" s="18"/>
      <c r="O112" s="18"/>
    </row>
    <row r="113" spans="7:15" ht="21.75" customHeight="1">
      <c r="G113" s="66"/>
      <c r="I113" s="66"/>
      <c r="M113" s="18"/>
      <c r="N113" s="18"/>
      <c r="O113" s="18"/>
    </row>
    <row r="114" spans="7:15" ht="21.75" customHeight="1">
      <c r="G114" s="66"/>
      <c r="I114" s="66"/>
      <c r="M114" s="18"/>
      <c r="N114" s="18"/>
      <c r="O114" s="18"/>
    </row>
    <row r="115" spans="7:15" ht="21.75" customHeight="1">
      <c r="G115" s="66"/>
      <c r="I115" s="66"/>
      <c r="M115" s="18"/>
      <c r="N115" s="67"/>
      <c r="O115" s="18"/>
    </row>
    <row r="116" spans="7:15" ht="21.75" customHeight="1">
      <c r="G116" s="66"/>
      <c r="I116" s="66"/>
      <c r="M116" s="67"/>
      <c r="N116" s="67"/>
      <c r="O116" s="18"/>
    </row>
    <row r="117" spans="7:15" ht="21.75" customHeight="1">
      <c r="G117" s="66"/>
      <c r="I117" s="66"/>
      <c r="M117" s="67"/>
      <c r="N117" s="67"/>
      <c r="O117" s="18"/>
    </row>
    <row r="118" spans="7:15" ht="21.75" customHeight="1">
      <c r="G118" s="66"/>
      <c r="I118" s="66"/>
      <c r="M118" s="67"/>
      <c r="N118" s="18"/>
      <c r="O118" s="18"/>
    </row>
    <row r="119" spans="7:15" ht="21.75" customHeight="1">
      <c r="G119" s="66"/>
      <c r="I119" s="66"/>
      <c r="M119" s="18"/>
      <c r="N119" s="18"/>
      <c r="O119" s="18"/>
    </row>
    <row r="120" spans="7:15" ht="21.75" customHeight="1">
      <c r="G120" s="66"/>
      <c r="I120" s="66"/>
      <c r="M120" s="18"/>
      <c r="N120" s="18"/>
      <c r="O120" s="18"/>
    </row>
    <row r="121" spans="7:15" ht="21.75" customHeight="1">
      <c r="G121" s="66"/>
      <c r="I121" s="66"/>
      <c r="M121" s="18"/>
      <c r="N121" s="68"/>
      <c r="O121" s="18"/>
    </row>
    <row r="122" spans="7:15" ht="21.75" customHeight="1">
      <c r="G122" s="66"/>
      <c r="I122" s="66"/>
      <c r="M122" s="68"/>
      <c r="N122" s="27"/>
      <c r="O122" s="56"/>
    </row>
    <row r="123" spans="7:15" ht="21.75" customHeight="1">
      <c r="G123" s="66"/>
      <c r="I123" s="66"/>
      <c r="M123" s="27"/>
      <c r="N123" s="56"/>
      <c r="O123" s="27"/>
    </row>
    <row r="124" spans="7:15" ht="21.75" customHeight="1">
      <c r="G124" s="66"/>
      <c r="I124" s="66"/>
      <c r="M124" s="56"/>
      <c r="N124" s="18"/>
      <c r="O124" s="56"/>
    </row>
    <row r="125" spans="7:15" ht="21.75" customHeight="1">
      <c r="G125" s="66"/>
      <c r="I125" s="66"/>
      <c r="M125" s="18"/>
      <c r="N125" s="56"/>
      <c r="O125" s="18"/>
    </row>
    <row r="126" spans="7:15" ht="21.75" customHeight="1">
      <c r="G126" s="66"/>
      <c r="I126" s="66"/>
      <c r="M126" s="56"/>
      <c r="N126" s="18"/>
      <c r="O126" s="56"/>
    </row>
    <row r="127" spans="7:15" ht="21.75" customHeight="1">
      <c r="G127" s="66"/>
      <c r="I127" s="66"/>
      <c r="M127" s="18"/>
      <c r="N127" s="18"/>
      <c r="O127" s="18"/>
    </row>
    <row r="128" spans="7:15" ht="21.75" customHeight="1">
      <c r="G128" s="66"/>
      <c r="I128" s="66"/>
      <c r="M128" s="18"/>
      <c r="N128" s="18"/>
      <c r="O128" s="18"/>
    </row>
    <row r="129" spans="7:15" ht="21.75" customHeight="1">
      <c r="G129" s="66"/>
      <c r="I129" s="66"/>
      <c r="M129" s="18"/>
      <c r="N129" s="18"/>
      <c r="O129" s="18"/>
    </row>
    <row r="130" spans="7:15" ht="21.75" customHeight="1">
      <c r="G130" s="66"/>
      <c r="I130" s="66"/>
      <c r="M130" s="18"/>
      <c r="N130" s="18"/>
      <c r="O130" s="18"/>
    </row>
    <row r="131" spans="7:15" ht="21.75" customHeight="1">
      <c r="G131" s="66"/>
      <c r="I131" s="66"/>
      <c r="M131" s="18"/>
      <c r="N131" s="18"/>
      <c r="O131" s="18"/>
    </row>
    <row r="132" spans="7:15" ht="21.75" customHeight="1">
      <c r="G132" s="66"/>
      <c r="I132" s="66"/>
      <c r="M132" s="18"/>
      <c r="N132" s="18"/>
      <c r="O132" s="18"/>
    </row>
    <row r="133" spans="7:15" ht="21.75" customHeight="1">
      <c r="G133" s="66"/>
      <c r="I133" s="66"/>
      <c r="M133" s="18"/>
      <c r="N133" s="18"/>
      <c r="O133" s="18"/>
    </row>
    <row r="134" spans="7:15" ht="21.75" customHeight="1">
      <c r="G134" s="66"/>
      <c r="I134" s="66"/>
      <c r="M134" s="18"/>
      <c r="N134" s="18"/>
      <c r="O134" s="18"/>
    </row>
    <row r="135" spans="7:15" ht="21.75" customHeight="1">
      <c r="G135" s="66"/>
      <c r="I135" s="66"/>
      <c r="M135" s="18"/>
      <c r="N135" s="18"/>
      <c r="O135" s="18"/>
    </row>
    <row r="136" spans="7:15" ht="21.75" customHeight="1">
      <c r="G136" s="66"/>
      <c r="I136" s="66"/>
      <c r="M136" s="18"/>
      <c r="N136" s="18"/>
      <c r="O136" s="18"/>
    </row>
    <row r="137" spans="7:15" ht="21.75" customHeight="1">
      <c r="G137" s="66"/>
      <c r="I137" s="66"/>
      <c r="M137" s="18"/>
      <c r="N137" s="18"/>
      <c r="O137" s="18"/>
    </row>
    <row r="138" spans="7:15" ht="21.75" customHeight="1">
      <c r="G138" s="66"/>
      <c r="I138" s="66"/>
      <c r="M138" s="18"/>
      <c r="N138" s="18"/>
      <c r="O138" s="18"/>
    </row>
    <row r="139" spans="7:15" ht="21.75" customHeight="1">
      <c r="G139" s="66"/>
      <c r="I139" s="66"/>
      <c r="M139" s="18"/>
      <c r="N139" s="18"/>
      <c r="O139" s="18"/>
    </row>
    <row r="140" spans="7:15" ht="21.75" customHeight="1">
      <c r="G140" s="66"/>
      <c r="I140" s="66"/>
      <c r="M140" s="18"/>
      <c r="N140" s="18"/>
      <c r="O140" s="18"/>
    </row>
    <row r="141" spans="7:15" ht="21.75" customHeight="1">
      <c r="G141" s="66"/>
      <c r="I141" s="66"/>
      <c r="M141" s="18"/>
      <c r="N141" s="18"/>
      <c r="O141" s="18"/>
    </row>
    <row r="142" spans="7:15" ht="21.75" customHeight="1">
      <c r="G142" s="66"/>
      <c r="I142" s="66"/>
      <c r="M142" s="18"/>
      <c r="N142" s="18"/>
      <c r="O142" s="18"/>
    </row>
    <row r="143" spans="7:15" ht="21.75" customHeight="1">
      <c r="G143" s="66"/>
      <c r="I143" s="66"/>
      <c r="M143" s="18"/>
      <c r="N143" s="18"/>
      <c r="O143" s="18"/>
    </row>
    <row r="144" spans="7:15" ht="21.75" customHeight="1">
      <c r="G144" s="66"/>
      <c r="I144" s="66"/>
      <c r="M144" s="18"/>
      <c r="N144" s="18"/>
      <c r="O144" s="18"/>
    </row>
    <row r="145" spans="7:15" ht="21.75" customHeight="1">
      <c r="G145" s="66"/>
      <c r="I145" s="66"/>
      <c r="M145" s="18"/>
      <c r="N145" s="18"/>
      <c r="O145" s="18"/>
    </row>
    <row r="146" spans="7:15" ht="21.75" customHeight="1">
      <c r="G146" s="66"/>
      <c r="I146" s="66"/>
      <c r="M146" s="18"/>
      <c r="N146" s="18"/>
      <c r="O146" s="18"/>
    </row>
    <row r="147" spans="7:15" ht="21.75" customHeight="1">
      <c r="G147" s="66"/>
      <c r="I147" s="66"/>
      <c r="M147" s="18"/>
      <c r="N147" s="18"/>
      <c r="O147" s="18"/>
    </row>
    <row r="148" spans="7:15" ht="21.75" customHeight="1">
      <c r="G148" s="66"/>
      <c r="I148" s="66"/>
      <c r="M148" s="18"/>
      <c r="N148" s="18"/>
      <c r="O148" s="18"/>
    </row>
    <row r="149" spans="7:15" ht="21.75" customHeight="1">
      <c r="G149" s="66"/>
      <c r="I149" s="66"/>
      <c r="M149" s="18"/>
      <c r="N149" s="18"/>
      <c r="O149" s="18"/>
    </row>
    <row r="150" spans="7:15" ht="21.75" customHeight="1">
      <c r="G150" s="66"/>
      <c r="I150" s="66"/>
      <c r="M150" s="18"/>
      <c r="N150" s="18"/>
      <c r="O150" s="18"/>
    </row>
    <row r="151" spans="7:15" ht="21.75" customHeight="1">
      <c r="G151" s="66"/>
      <c r="I151" s="66"/>
      <c r="M151" s="18"/>
      <c r="N151" s="18"/>
      <c r="O151" s="18"/>
    </row>
    <row r="152" spans="7:15" ht="21.75" customHeight="1">
      <c r="G152" s="66"/>
      <c r="I152" s="66"/>
      <c r="M152" s="18"/>
      <c r="N152" s="18"/>
      <c r="O152" s="18"/>
    </row>
    <row r="153" spans="7:15" ht="21.75" customHeight="1">
      <c r="G153" s="66"/>
      <c r="I153" s="66"/>
      <c r="M153" s="18"/>
      <c r="N153" s="18"/>
      <c r="O153" s="18"/>
    </row>
    <row r="154" spans="7:15" ht="21.75" customHeight="1">
      <c r="G154" s="66"/>
      <c r="I154" s="66"/>
      <c r="M154" s="18"/>
      <c r="N154" s="18"/>
      <c r="O154" s="18"/>
    </row>
    <row r="155" spans="7:15" ht="21.75" customHeight="1">
      <c r="G155" s="66"/>
      <c r="I155" s="66"/>
      <c r="M155" s="18"/>
      <c r="O155" s="18"/>
    </row>
    <row r="156" spans="7:15" ht="21.75" customHeight="1">
      <c r="G156" s="66"/>
      <c r="I156" s="66"/>
    </row>
    <row r="157" spans="7:15" ht="21.75" customHeight="1">
      <c r="G157" s="66"/>
      <c r="I157" s="66"/>
    </row>
    <row r="158" spans="7:15" ht="21.75" customHeight="1">
      <c r="G158" s="66"/>
      <c r="I158" s="66"/>
    </row>
    <row r="159" spans="7:15" ht="21.75" customHeight="1">
      <c r="G159" s="66"/>
      <c r="I159" s="66"/>
    </row>
    <row r="160" spans="7:15" ht="21.75" customHeight="1">
      <c r="G160" s="66"/>
      <c r="I160" s="66"/>
    </row>
    <row r="161" spans="7:9" ht="21.75" customHeight="1">
      <c r="G161" s="66"/>
      <c r="I161" s="66"/>
    </row>
    <row r="162" spans="7:9" ht="21.75" customHeight="1">
      <c r="G162" s="66"/>
      <c r="I162" s="66"/>
    </row>
    <row r="163" spans="7:9" ht="21.75" customHeight="1">
      <c r="G163" s="66"/>
      <c r="I163" s="66"/>
    </row>
    <row r="164" spans="7:9" ht="21.75" customHeight="1">
      <c r="G164" s="66"/>
      <c r="I164" s="66"/>
    </row>
    <row r="165" spans="7:9" ht="21.75" customHeight="1">
      <c r="G165" s="66"/>
      <c r="I165" s="66"/>
    </row>
    <row r="166" spans="7:9" ht="21.75" customHeight="1">
      <c r="G166" s="66"/>
      <c r="I166" s="66"/>
    </row>
    <row r="167" spans="7:9" ht="21.75" customHeight="1">
      <c r="G167" s="66"/>
      <c r="I167" s="66"/>
    </row>
    <row r="168" spans="7:9" ht="21.75" customHeight="1">
      <c r="G168" s="66"/>
      <c r="I168" s="66"/>
    </row>
    <row r="169" spans="7:9" ht="21.75" customHeight="1">
      <c r="G169" s="66"/>
      <c r="I169" s="66"/>
    </row>
    <row r="170" spans="7:9" ht="21.75" customHeight="1">
      <c r="G170" s="66"/>
      <c r="I170" s="66"/>
    </row>
    <row r="171" spans="7:9" ht="21.75" customHeight="1">
      <c r="G171" s="66"/>
      <c r="I171" s="66"/>
    </row>
    <row r="172" spans="7:9" ht="21.75" customHeight="1">
      <c r="G172" s="66"/>
      <c r="I172" s="66"/>
    </row>
    <row r="173" spans="7:9" ht="21.75" customHeight="1">
      <c r="G173" s="66"/>
      <c r="I173" s="66"/>
    </row>
    <row r="174" spans="7:9" ht="21.75" customHeight="1">
      <c r="G174" s="66"/>
      <c r="I174" s="66"/>
    </row>
    <row r="175" spans="7:9" ht="21.75" customHeight="1">
      <c r="G175" s="66"/>
      <c r="I175" s="66"/>
    </row>
    <row r="176" spans="7:9" ht="21.75" customHeight="1">
      <c r="G176" s="66"/>
      <c r="I176" s="66"/>
    </row>
    <row r="177" spans="7:9" ht="21.75" customHeight="1">
      <c r="G177" s="66"/>
      <c r="I177" s="66"/>
    </row>
    <row r="178" spans="7:9" ht="21.75" customHeight="1">
      <c r="G178" s="66"/>
      <c r="I178" s="66"/>
    </row>
    <row r="179" spans="7:9" ht="21.75" customHeight="1">
      <c r="G179" s="66"/>
      <c r="I179" s="66"/>
    </row>
    <row r="180" spans="7:9" ht="21.75" customHeight="1">
      <c r="G180" s="66"/>
      <c r="I180" s="66"/>
    </row>
    <row r="181" spans="7:9" ht="21.75" customHeight="1">
      <c r="G181" s="66"/>
      <c r="I181" s="66"/>
    </row>
    <row r="182" spans="7:9" ht="21.75" customHeight="1">
      <c r="G182" s="66"/>
      <c r="I182" s="66"/>
    </row>
    <row r="183" spans="7:9" ht="21.75" customHeight="1">
      <c r="G183" s="66"/>
      <c r="I183" s="66"/>
    </row>
    <row r="184" spans="7:9" ht="21.75" customHeight="1">
      <c r="G184" s="66"/>
      <c r="I184" s="66"/>
    </row>
    <row r="185" spans="7:9" ht="21.75" customHeight="1">
      <c r="G185" s="66"/>
      <c r="I185" s="66"/>
    </row>
    <row r="186" spans="7:9" ht="21.75" customHeight="1">
      <c r="G186" s="66"/>
      <c r="I186" s="66"/>
    </row>
    <row r="187" spans="7:9" ht="21.75" customHeight="1">
      <c r="G187" s="66"/>
      <c r="I187" s="66"/>
    </row>
    <row r="188" spans="7:9" ht="21.75" customHeight="1">
      <c r="G188" s="66"/>
      <c r="I188" s="66"/>
    </row>
    <row r="189" spans="7:9" ht="21.75" customHeight="1">
      <c r="G189" s="66"/>
      <c r="I189" s="66"/>
    </row>
    <row r="190" spans="7:9" ht="21.75" customHeight="1">
      <c r="G190" s="66"/>
      <c r="I190" s="66"/>
    </row>
    <row r="191" spans="7:9" ht="21.75" customHeight="1">
      <c r="G191" s="66"/>
      <c r="I191" s="66"/>
    </row>
    <row r="192" spans="7:9" ht="21.75" customHeight="1">
      <c r="G192" s="66"/>
      <c r="I192" s="66"/>
    </row>
    <row r="193" spans="7:9" ht="21.75" customHeight="1">
      <c r="G193" s="66"/>
      <c r="I193" s="66"/>
    </row>
    <row r="194" spans="7:9" ht="21.75" customHeight="1">
      <c r="G194" s="66"/>
      <c r="I194" s="66"/>
    </row>
    <row r="195" spans="7:9" ht="21.75" customHeight="1">
      <c r="G195" s="66"/>
      <c r="I195" s="66"/>
    </row>
    <row r="196" spans="7:9" ht="21.75" customHeight="1">
      <c r="G196" s="66"/>
      <c r="I196" s="66"/>
    </row>
    <row r="197" spans="7:9" ht="21.75" customHeight="1">
      <c r="G197" s="66"/>
      <c r="I197" s="66"/>
    </row>
    <row r="198" spans="7:9" ht="21.75" customHeight="1">
      <c r="G198" s="66"/>
      <c r="I198" s="66"/>
    </row>
    <row r="199" spans="7:9" ht="21.75" customHeight="1">
      <c r="G199" s="66"/>
      <c r="I199" s="66"/>
    </row>
    <row r="200" spans="7:9" ht="21.75" customHeight="1">
      <c r="G200" s="66"/>
      <c r="I200" s="66"/>
    </row>
    <row r="201" spans="7:9" ht="21.75" customHeight="1">
      <c r="G201" s="66"/>
      <c r="I201" s="66"/>
    </row>
    <row r="202" spans="7:9" ht="21.75" customHeight="1">
      <c r="G202" s="66"/>
      <c r="I202" s="66"/>
    </row>
    <row r="203" spans="7:9" ht="21.75" customHeight="1">
      <c r="G203" s="66"/>
      <c r="I203" s="66"/>
    </row>
    <row r="204" spans="7:9" ht="21.75" customHeight="1">
      <c r="G204" s="66"/>
      <c r="I204" s="66"/>
    </row>
    <row r="205" spans="7:9" ht="21.75" customHeight="1">
      <c r="G205" s="66"/>
      <c r="I205" s="66"/>
    </row>
    <row r="206" spans="7:9" ht="21.75" customHeight="1">
      <c r="G206" s="66"/>
      <c r="I206" s="66"/>
    </row>
    <row r="207" spans="7:9" ht="21.75" customHeight="1">
      <c r="G207" s="66"/>
      <c r="I207" s="66"/>
    </row>
    <row r="208" spans="7:9" ht="21.75" customHeight="1">
      <c r="G208" s="66"/>
      <c r="I208" s="66"/>
    </row>
    <row r="209" spans="7:9" ht="21.75" customHeight="1">
      <c r="G209" s="66"/>
      <c r="I209" s="66"/>
    </row>
    <row r="210" spans="7:9" ht="21.75" customHeight="1">
      <c r="G210" s="66"/>
      <c r="I210" s="66"/>
    </row>
    <row r="211" spans="7:9" ht="21.75" customHeight="1">
      <c r="G211" s="66"/>
      <c r="I211" s="66"/>
    </row>
    <row r="212" spans="7:9" ht="21.75" customHeight="1">
      <c r="G212" s="66"/>
      <c r="I212" s="66"/>
    </row>
    <row r="213" spans="7:9" ht="21.75" customHeight="1">
      <c r="G213" s="66"/>
      <c r="I213" s="66"/>
    </row>
    <row r="214" spans="7:9" ht="21.75" customHeight="1">
      <c r="G214" s="66"/>
      <c r="I214" s="66"/>
    </row>
    <row r="215" spans="7:9" ht="21.75" customHeight="1">
      <c r="G215" s="66"/>
      <c r="I215" s="66"/>
    </row>
    <row r="216" spans="7:9" ht="21.75" customHeight="1">
      <c r="G216" s="66"/>
      <c r="I216" s="66"/>
    </row>
    <row r="217" spans="7:9" ht="21.75" customHeight="1">
      <c r="G217" s="66"/>
      <c r="I217" s="66"/>
    </row>
    <row r="218" spans="7:9" ht="21.75" customHeight="1">
      <c r="G218" s="66"/>
      <c r="I218" s="66"/>
    </row>
    <row r="219" spans="7:9" ht="21.75" customHeight="1">
      <c r="G219" s="66"/>
      <c r="I219" s="66"/>
    </row>
    <row r="220" spans="7:9" ht="21.75" customHeight="1">
      <c r="G220" s="66"/>
      <c r="I220" s="66"/>
    </row>
    <row r="221" spans="7:9" ht="21.75" customHeight="1">
      <c r="G221" s="66"/>
      <c r="I221" s="66"/>
    </row>
    <row r="222" spans="7:9" ht="21.75" customHeight="1">
      <c r="G222" s="66"/>
      <c r="I222" s="66"/>
    </row>
    <row r="223" spans="7:9" ht="21.75" customHeight="1">
      <c r="G223" s="66"/>
      <c r="I223" s="66"/>
    </row>
    <row r="224" spans="7:9" ht="21.75" customHeight="1">
      <c r="G224" s="66"/>
      <c r="I224" s="66"/>
    </row>
    <row r="225" spans="7:9" ht="21.75" customHeight="1">
      <c r="G225" s="66"/>
      <c r="I225" s="66"/>
    </row>
    <row r="226" spans="7:9" ht="21.75" customHeight="1">
      <c r="G226" s="66"/>
      <c r="I226" s="66"/>
    </row>
    <row r="227" spans="7:9" ht="21.75" customHeight="1">
      <c r="G227" s="66"/>
      <c r="I227" s="66"/>
    </row>
    <row r="228" spans="7:9" ht="21.75" customHeight="1">
      <c r="G228" s="66"/>
      <c r="I228" s="66"/>
    </row>
    <row r="229" spans="7:9" ht="21.75" customHeight="1">
      <c r="G229" s="66"/>
      <c r="I229" s="66"/>
    </row>
    <row r="230" spans="7:9" ht="21.75" customHeight="1">
      <c r="G230" s="66"/>
      <c r="I230" s="66"/>
    </row>
    <row r="231" spans="7:9" ht="21.75" customHeight="1">
      <c r="G231" s="66"/>
      <c r="I231" s="66"/>
    </row>
    <row r="232" spans="7:9" ht="21.75" customHeight="1">
      <c r="G232" s="66"/>
      <c r="I232" s="66"/>
    </row>
    <row r="233" spans="7:9" ht="21.75" customHeight="1">
      <c r="G233" s="66"/>
      <c r="I233" s="66"/>
    </row>
    <row r="234" spans="7:9" ht="21.75" customHeight="1">
      <c r="G234" s="66"/>
      <c r="I234" s="66"/>
    </row>
    <row r="235" spans="7:9" ht="21.75" customHeight="1">
      <c r="G235" s="66"/>
      <c r="I235" s="66"/>
    </row>
    <row r="236" spans="7:9" ht="21.75" customHeight="1">
      <c r="G236" s="66"/>
      <c r="I236" s="66"/>
    </row>
    <row r="237" spans="7:9" ht="21.75" customHeight="1">
      <c r="G237" s="66"/>
      <c r="I237" s="66"/>
    </row>
    <row r="238" spans="7:9" ht="21.75" customHeight="1">
      <c r="G238" s="66"/>
      <c r="I238" s="66"/>
    </row>
    <row r="239" spans="7:9" ht="21.75" customHeight="1">
      <c r="G239" s="66"/>
      <c r="I239" s="66"/>
    </row>
    <row r="240" spans="7:9" ht="21.75" customHeight="1">
      <c r="G240" s="66"/>
      <c r="I240" s="66"/>
    </row>
    <row r="241" spans="7:9" ht="21.75" customHeight="1">
      <c r="G241" s="66"/>
      <c r="I241" s="66"/>
    </row>
    <row r="242" spans="7:9" ht="21.75" customHeight="1">
      <c r="G242" s="66"/>
      <c r="I242" s="66"/>
    </row>
    <row r="243" spans="7:9" ht="21.75" customHeight="1">
      <c r="G243" s="66"/>
      <c r="I243" s="66"/>
    </row>
    <row r="244" spans="7:9" ht="21.75" customHeight="1">
      <c r="G244" s="66"/>
      <c r="I244" s="66"/>
    </row>
    <row r="245" spans="7:9" ht="21.75" customHeight="1">
      <c r="G245" s="66"/>
      <c r="I245" s="66"/>
    </row>
    <row r="246" spans="7:9" ht="21.75" customHeight="1">
      <c r="G246" s="66"/>
      <c r="I246" s="66"/>
    </row>
    <row r="247" spans="7:9" ht="21.75" customHeight="1">
      <c r="G247" s="66"/>
      <c r="I247" s="66"/>
    </row>
    <row r="248" spans="7:9" ht="21.75" customHeight="1">
      <c r="G248" s="66"/>
      <c r="I248" s="66"/>
    </row>
    <row r="249" spans="7:9" ht="21.75" customHeight="1">
      <c r="G249" s="66"/>
      <c r="I249" s="66"/>
    </row>
    <row r="250" spans="7:9" ht="21.75" customHeight="1">
      <c r="G250" s="66"/>
      <c r="I250" s="66"/>
    </row>
    <row r="251" spans="7:9" ht="21.75" customHeight="1">
      <c r="G251" s="66"/>
      <c r="I251" s="66"/>
    </row>
    <row r="252" spans="7:9" ht="21.75" customHeight="1">
      <c r="G252" s="66"/>
      <c r="I252" s="66"/>
    </row>
    <row r="253" spans="7:9" ht="21.75" customHeight="1">
      <c r="G253" s="66"/>
      <c r="I253" s="66"/>
    </row>
    <row r="254" spans="7:9" ht="21.75" customHeight="1">
      <c r="G254" s="66"/>
      <c r="I254" s="66"/>
    </row>
    <row r="255" spans="7:9" ht="21.75" customHeight="1">
      <c r="G255" s="66"/>
      <c r="I255" s="66"/>
    </row>
    <row r="256" spans="7:9" ht="21.75" customHeight="1">
      <c r="G256" s="66"/>
      <c r="I256" s="66"/>
    </row>
    <row r="257" spans="7:9" ht="21.75" customHeight="1">
      <c r="G257" s="66"/>
      <c r="I257" s="66"/>
    </row>
    <row r="258" spans="7:9" ht="21.75" customHeight="1">
      <c r="G258" s="66"/>
      <c r="I258" s="66"/>
    </row>
    <row r="259" spans="7:9" ht="21.75" customHeight="1">
      <c r="G259" s="66"/>
      <c r="I259" s="66"/>
    </row>
    <row r="260" spans="7:9" ht="21.75" customHeight="1">
      <c r="G260" s="66"/>
      <c r="I260" s="66"/>
    </row>
    <row r="261" spans="7:9" ht="21.75" customHeight="1">
      <c r="G261" s="66"/>
      <c r="I261" s="66"/>
    </row>
    <row r="262" spans="7:9" ht="21.75" customHeight="1">
      <c r="G262" s="66"/>
      <c r="I262" s="66"/>
    </row>
    <row r="263" spans="7:9" ht="21.75" customHeight="1">
      <c r="G263" s="66"/>
      <c r="I263" s="66"/>
    </row>
    <row r="264" spans="7:9" ht="21.75" customHeight="1">
      <c r="G264" s="66"/>
      <c r="I264" s="66"/>
    </row>
    <row r="265" spans="7:9" ht="21.75" customHeight="1">
      <c r="G265" s="66"/>
      <c r="I265" s="66"/>
    </row>
    <row r="266" spans="7:9" ht="21.75" customHeight="1">
      <c r="G266" s="66"/>
      <c r="I266" s="66"/>
    </row>
    <row r="267" spans="7:9" ht="21.75" customHeight="1">
      <c r="G267" s="66"/>
      <c r="I267" s="66"/>
    </row>
    <row r="268" spans="7:9" ht="21.75" customHeight="1">
      <c r="G268" s="66"/>
      <c r="I268" s="66"/>
    </row>
    <row r="269" spans="7:9" ht="21.75" customHeight="1">
      <c r="G269" s="66"/>
      <c r="I269" s="66"/>
    </row>
    <row r="270" spans="7:9" ht="21.75" customHeight="1">
      <c r="G270" s="66"/>
      <c r="I270" s="66"/>
    </row>
    <row r="271" spans="7:9" ht="21.75" customHeight="1">
      <c r="G271" s="66"/>
      <c r="I271" s="66"/>
    </row>
    <row r="272" spans="7:9" ht="21.75" customHeight="1">
      <c r="G272" s="66"/>
      <c r="I272" s="66"/>
    </row>
    <row r="273" spans="7:9" ht="21.75" customHeight="1">
      <c r="G273" s="66"/>
      <c r="I273" s="66"/>
    </row>
    <row r="274" spans="7:9" ht="21.75" customHeight="1">
      <c r="G274" s="66"/>
      <c r="I274" s="66"/>
    </row>
    <row r="275" spans="7:9" ht="21.75" customHeight="1">
      <c r="G275" s="66"/>
      <c r="I275" s="66"/>
    </row>
    <row r="276" spans="7:9" ht="21.75" customHeight="1">
      <c r="G276" s="66"/>
      <c r="I276" s="66"/>
    </row>
    <row r="277" spans="7:9" ht="21.75" customHeight="1">
      <c r="G277" s="66"/>
      <c r="I277" s="66"/>
    </row>
    <row r="278" spans="7:9" ht="21.75" customHeight="1">
      <c r="G278" s="66"/>
      <c r="I278" s="66"/>
    </row>
    <row r="279" spans="7:9" ht="21.75" customHeight="1">
      <c r="G279" s="66"/>
      <c r="I279" s="66"/>
    </row>
    <row r="280" spans="7:9" ht="21.75" customHeight="1">
      <c r="G280" s="66"/>
      <c r="I280" s="66"/>
    </row>
    <row r="281" spans="7:9" ht="21.75" customHeight="1">
      <c r="G281" s="66"/>
      <c r="I281" s="66"/>
    </row>
    <row r="282" spans="7:9" ht="21.75" customHeight="1">
      <c r="G282" s="66"/>
      <c r="I282" s="66"/>
    </row>
    <row r="283" spans="7:9" ht="21.75" customHeight="1">
      <c r="G283" s="66"/>
      <c r="I283" s="66"/>
    </row>
    <row r="284" spans="7:9" ht="21.75" customHeight="1">
      <c r="G284" s="66"/>
      <c r="I284" s="66"/>
    </row>
    <row r="285" spans="7:9" ht="21.75" customHeight="1">
      <c r="G285" s="66"/>
      <c r="I285" s="66"/>
    </row>
    <row r="286" spans="7:9" ht="21.75" customHeight="1">
      <c r="G286" s="66"/>
      <c r="I286" s="66"/>
    </row>
    <row r="287" spans="7:9" ht="21.75" customHeight="1">
      <c r="G287" s="66"/>
      <c r="I287" s="66"/>
    </row>
    <row r="288" spans="7:9" ht="21.75" customHeight="1">
      <c r="G288" s="66"/>
      <c r="I288" s="66"/>
    </row>
    <row r="289" spans="7:9" ht="21.75" customHeight="1">
      <c r="G289" s="66"/>
      <c r="I289" s="66"/>
    </row>
    <row r="290" spans="7:9" ht="21.75" customHeight="1">
      <c r="G290" s="66"/>
      <c r="I290" s="66"/>
    </row>
    <row r="291" spans="7:9" ht="21.75" customHeight="1">
      <c r="G291" s="66"/>
      <c r="I291" s="66"/>
    </row>
    <row r="292" spans="7:9" ht="21.75" customHeight="1">
      <c r="G292" s="66"/>
      <c r="I292" s="66"/>
    </row>
    <row r="293" spans="7:9" ht="21.75" customHeight="1">
      <c r="G293" s="66"/>
      <c r="I293" s="66"/>
    </row>
    <row r="294" spans="7:9" ht="21.75" customHeight="1">
      <c r="G294" s="66"/>
      <c r="I294" s="66"/>
    </row>
    <row r="295" spans="7:9" ht="21.75" customHeight="1">
      <c r="G295" s="66"/>
      <c r="I295" s="66"/>
    </row>
    <row r="296" spans="7:9" ht="21.75" customHeight="1">
      <c r="G296" s="66"/>
      <c r="I296" s="66"/>
    </row>
    <row r="297" spans="7:9" ht="21.75" customHeight="1">
      <c r="G297" s="66"/>
      <c r="I297" s="66"/>
    </row>
    <row r="298" spans="7:9" ht="21.75" customHeight="1">
      <c r="G298" s="66"/>
      <c r="I298" s="66"/>
    </row>
    <row r="299" spans="7:9" ht="21.75" customHeight="1">
      <c r="G299" s="66"/>
      <c r="I299" s="66"/>
    </row>
    <row r="300" spans="7:9" ht="21.75" customHeight="1">
      <c r="G300" s="66"/>
      <c r="I300" s="66"/>
    </row>
    <row r="301" spans="7:9" ht="21.75" customHeight="1">
      <c r="G301" s="66"/>
      <c r="I301" s="66"/>
    </row>
    <row r="302" spans="7:9" ht="21.75" customHeight="1">
      <c r="G302" s="66"/>
      <c r="I302" s="66"/>
    </row>
    <row r="303" spans="7:9" ht="21.75" customHeight="1">
      <c r="G303" s="66"/>
      <c r="I303" s="66"/>
    </row>
    <row r="304" spans="7:9" ht="21.75" customHeight="1">
      <c r="G304" s="66"/>
      <c r="I304" s="66"/>
    </row>
    <row r="305" spans="7:9" ht="21.75" customHeight="1">
      <c r="G305" s="66"/>
      <c r="I305" s="66"/>
    </row>
    <row r="306" spans="7:9" ht="21.75" customHeight="1">
      <c r="G306" s="66"/>
      <c r="I306" s="66"/>
    </row>
    <row r="307" spans="7:9" ht="21.75" customHeight="1">
      <c r="G307" s="66"/>
      <c r="I307" s="66"/>
    </row>
    <row r="308" spans="7:9" ht="21.75" customHeight="1">
      <c r="G308" s="66"/>
      <c r="I308" s="66"/>
    </row>
    <row r="309" spans="7:9" ht="21.75" customHeight="1">
      <c r="G309" s="66"/>
      <c r="I309" s="66"/>
    </row>
    <row r="310" spans="7:9" ht="21.75" customHeight="1">
      <c r="G310" s="66"/>
      <c r="I310" s="66"/>
    </row>
    <row r="311" spans="7:9" ht="21.75" customHeight="1">
      <c r="G311" s="66"/>
      <c r="I311" s="66"/>
    </row>
    <row r="312" spans="7:9" ht="21.75" customHeight="1">
      <c r="G312" s="66"/>
      <c r="I312" s="66"/>
    </row>
    <row r="313" spans="7:9" ht="21.75" customHeight="1">
      <c r="G313" s="66"/>
      <c r="I313" s="66"/>
    </row>
    <row r="314" spans="7:9" ht="21.75" customHeight="1">
      <c r="G314" s="66"/>
      <c r="I314" s="66"/>
    </row>
    <row r="315" spans="7:9" ht="21.75" customHeight="1">
      <c r="G315" s="66"/>
      <c r="I315" s="66"/>
    </row>
    <row r="316" spans="7:9" ht="21.75" customHeight="1">
      <c r="G316" s="66"/>
      <c r="I316" s="66"/>
    </row>
    <row r="317" spans="7:9" ht="21.75" customHeight="1">
      <c r="G317" s="66"/>
      <c r="I317" s="66"/>
    </row>
    <row r="318" spans="7:9" ht="21.75" customHeight="1">
      <c r="G318" s="66"/>
      <c r="I318" s="66"/>
    </row>
    <row r="319" spans="7:9" ht="21.75" customHeight="1">
      <c r="G319" s="66"/>
      <c r="I319" s="66"/>
    </row>
    <row r="320" spans="7:9" ht="21.75" customHeight="1">
      <c r="G320" s="66"/>
      <c r="I320" s="66"/>
    </row>
    <row r="321" spans="7:9" ht="21.75" customHeight="1">
      <c r="G321" s="66"/>
      <c r="I321" s="66"/>
    </row>
    <row r="322" spans="7:9" ht="21.75" customHeight="1">
      <c r="G322" s="66"/>
      <c r="I322" s="66"/>
    </row>
    <row r="323" spans="7:9" ht="21.75" customHeight="1">
      <c r="G323" s="66"/>
      <c r="I323" s="66"/>
    </row>
    <row r="324" spans="7:9" ht="21.75" customHeight="1">
      <c r="G324" s="66"/>
      <c r="I324" s="66"/>
    </row>
    <row r="325" spans="7:9" ht="21.75" customHeight="1">
      <c r="G325" s="66"/>
      <c r="I325" s="66"/>
    </row>
    <row r="326" spans="7:9" ht="21.75" customHeight="1">
      <c r="G326" s="66"/>
      <c r="I326" s="66"/>
    </row>
    <row r="327" spans="7:9" ht="21.75" customHeight="1">
      <c r="G327" s="66"/>
      <c r="I327" s="66"/>
    </row>
    <row r="328" spans="7:9" ht="21.75" customHeight="1">
      <c r="G328" s="66"/>
      <c r="I328" s="66"/>
    </row>
    <row r="329" spans="7:9" ht="21.75" customHeight="1">
      <c r="G329" s="66"/>
      <c r="I329" s="66"/>
    </row>
    <row r="330" spans="7:9" ht="21.75" customHeight="1">
      <c r="G330" s="66"/>
      <c r="I330" s="66"/>
    </row>
    <row r="331" spans="7:9" ht="21.75" customHeight="1">
      <c r="G331" s="66"/>
      <c r="I331" s="66"/>
    </row>
    <row r="332" spans="7:9" ht="21.75" customHeight="1">
      <c r="G332" s="66"/>
      <c r="I332" s="66"/>
    </row>
    <row r="333" spans="7:9" ht="21.75" customHeight="1">
      <c r="G333" s="66"/>
      <c r="I333" s="66"/>
    </row>
    <row r="334" spans="7:9" ht="21.75" customHeight="1">
      <c r="G334" s="66"/>
      <c r="I334" s="66"/>
    </row>
    <row r="335" spans="7:9" ht="21.75" customHeight="1">
      <c r="G335" s="66"/>
      <c r="I335" s="66"/>
    </row>
    <row r="336" spans="7:9" ht="21.75" customHeight="1">
      <c r="G336" s="66"/>
      <c r="I336" s="66"/>
    </row>
    <row r="337" spans="7:9" ht="21.75" customHeight="1">
      <c r="G337" s="66"/>
      <c r="I337" s="66"/>
    </row>
    <row r="338" spans="7:9" ht="21.75" customHeight="1">
      <c r="G338" s="66"/>
      <c r="I338" s="66"/>
    </row>
    <row r="339" spans="7:9" ht="21.75" customHeight="1">
      <c r="G339" s="66"/>
      <c r="I339" s="66"/>
    </row>
    <row r="340" spans="7:9" ht="21.75" customHeight="1">
      <c r="G340" s="66"/>
      <c r="I340" s="66"/>
    </row>
    <row r="341" spans="7:9" ht="21.75" customHeight="1">
      <c r="G341" s="66"/>
      <c r="I341" s="66"/>
    </row>
    <row r="342" spans="7:9" ht="21.75" customHeight="1">
      <c r="G342" s="66"/>
      <c r="I342" s="66"/>
    </row>
    <row r="343" spans="7:9" ht="21.75" customHeight="1">
      <c r="G343" s="66"/>
      <c r="I343" s="66"/>
    </row>
    <row r="344" spans="7:9" ht="21.75" customHeight="1">
      <c r="G344" s="66"/>
      <c r="I344" s="66"/>
    </row>
    <row r="345" spans="7:9" ht="21.75" customHeight="1">
      <c r="G345" s="66"/>
      <c r="I345" s="66"/>
    </row>
    <row r="346" spans="7:9" ht="21.75" customHeight="1">
      <c r="G346" s="66"/>
      <c r="I346" s="66"/>
    </row>
    <row r="347" spans="7:9" ht="21.75" customHeight="1">
      <c r="G347" s="66"/>
      <c r="I347" s="66"/>
    </row>
    <row r="348" spans="7:9" ht="21.75" customHeight="1">
      <c r="G348" s="66"/>
      <c r="I348" s="66"/>
    </row>
    <row r="349" spans="7:9" ht="21.75" customHeight="1">
      <c r="G349" s="66"/>
      <c r="I349" s="66"/>
    </row>
    <row r="350" spans="7:9" ht="21.75" customHeight="1">
      <c r="G350" s="66"/>
      <c r="I350" s="66"/>
    </row>
    <row r="351" spans="7:9" ht="21.75" customHeight="1">
      <c r="G351" s="66"/>
      <c r="I351" s="66"/>
    </row>
    <row r="352" spans="7:9" ht="21.75" customHeight="1">
      <c r="G352" s="66"/>
      <c r="I352" s="66"/>
    </row>
    <row r="353" spans="7:9" ht="21.75" customHeight="1">
      <c r="G353" s="66"/>
      <c r="I353" s="66"/>
    </row>
    <row r="354" spans="7:9" ht="21.75" customHeight="1">
      <c r="G354" s="66"/>
      <c r="I354" s="66"/>
    </row>
    <row r="355" spans="7:9" ht="21.75" customHeight="1">
      <c r="G355" s="66"/>
      <c r="I355" s="66"/>
    </row>
  </sheetData>
  <mergeCells count="21">
    <mergeCell ref="A45:G45"/>
    <mergeCell ref="A1:G1"/>
    <mergeCell ref="A2:G2"/>
    <mergeCell ref="H4:J4"/>
    <mergeCell ref="D7:J7"/>
    <mergeCell ref="D5:F5"/>
    <mergeCell ref="H5:J5"/>
    <mergeCell ref="D4:F4"/>
    <mergeCell ref="H83:J83"/>
    <mergeCell ref="D86:J86"/>
    <mergeCell ref="A46:G46"/>
    <mergeCell ref="H48:J48"/>
    <mergeCell ref="D51:J51"/>
    <mergeCell ref="A80:G80"/>
    <mergeCell ref="A81:G81"/>
    <mergeCell ref="D49:F49"/>
    <mergeCell ref="H49:J49"/>
    <mergeCell ref="D84:F84"/>
    <mergeCell ref="H84:J84"/>
    <mergeCell ref="D48:F48"/>
    <mergeCell ref="D83:F83"/>
  </mergeCells>
  <pageMargins left="0.8" right="0.48" top="0.8" bottom="0.4" header="0.3" footer="0.15"/>
  <pageSetup paperSize="9" scale="74" firstPageNumber="6" fitToHeight="0" orientation="portrait" useFirstPageNumber="1" r:id="rId1"/>
  <headerFooter>
    <oddFooter>&amp;L หมายเหตุประกอบงบการเงินเป็นส่วนหนึ่งของงบการเงินนี้
&amp;C&amp;P</oddFooter>
  </headerFooter>
  <rowBreaks count="2" manualBreakCount="2">
    <brk id="44" max="16383" man="1"/>
    <brk id="7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6A32-F834-42A6-8A23-80BFA50B9B7B}">
  <sheetPr>
    <pageSetUpPr fitToPage="1"/>
  </sheetPr>
  <dimension ref="A1:P83"/>
  <sheetViews>
    <sheetView showGridLines="0" view="pageBreakPreview" topLeftCell="A65" zoomScaleNormal="100" zoomScaleSheetLayoutView="100" workbookViewId="0">
      <selection activeCell="B65" sqref="B65"/>
    </sheetView>
  </sheetViews>
  <sheetFormatPr defaultColWidth="10.42578125" defaultRowHeight="22.7" customHeight="1"/>
  <cols>
    <col min="1" max="1" width="50.7109375" style="70" customWidth="1"/>
    <col min="2" max="2" width="12.7109375" style="73" customWidth="1"/>
    <col min="3" max="3" width="1.5703125" style="73" customWidth="1"/>
    <col min="4" max="4" width="17" style="96" customWidth="1"/>
    <col min="5" max="5" width="1.42578125" style="89" customWidth="1"/>
    <col min="6" max="6" width="15.85546875" style="96" customWidth="1"/>
    <col min="7" max="7" width="1.42578125" style="89" customWidth="1"/>
    <col min="8" max="8" width="16.42578125" style="96" customWidth="1"/>
    <col min="9" max="9" width="1.5703125" style="89" customWidth="1"/>
    <col min="10" max="10" width="17.28515625" style="96" customWidth="1"/>
    <col min="11" max="11" width="19.5703125" style="70" customWidth="1"/>
    <col min="12" max="13" width="18.140625" style="70" bestFit="1" customWidth="1"/>
    <col min="14" max="14" width="13" style="70" bestFit="1" customWidth="1"/>
    <col min="15" max="16384" width="10.42578125" style="70"/>
  </cols>
  <sheetData>
    <row r="1" spans="1:14" ht="22.7" customHeight="1">
      <c r="A1" s="136" t="s">
        <v>0</v>
      </c>
      <c r="B1" s="136"/>
      <c r="C1" s="136"/>
      <c r="D1" s="136"/>
      <c r="E1" s="136"/>
      <c r="F1" s="136"/>
      <c r="G1" s="136"/>
      <c r="H1" s="136"/>
      <c r="I1" s="69"/>
      <c r="J1" s="69"/>
    </row>
    <row r="2" spans="1:14" ht="22.7" customHeight="1">
      <c r="A2" s="1" t="s">
        <v>83</v>
      </c>
      <c r="B2" s="101"/>
      <c r="C2" s="71"/>
      <c r="D2" s="69"/>
      <c r="E2" s="69"/>
      <c r="F2" s="69"/>
      <c r="G2" s="69"/>
      <c r="H2" s="69"/>
      <c r="I2" s="69"/>
      <c r="J2" s="69"/>
    </row>
    <row r="3" spans="1:14" ht="14.45" customHeight="1">
      <c r="A3" s="69"/>
      <c r="B3" s="97"/>
      <c r="C3" s="69"/>
      <c r="D3" s="69"/>
      <c r="E3" s="69"/>
      <c r="F3" s="69"/>
      <c r="G3" s="69"/>
      <c r="H3" s="69"/>
      <c r="I3" s="69"/>
      <c r="J3" s="69"/>
    </row>
    <row r="4" spans="1:14" ht="21.6" customHeight="1">
      <c r="B4" s="72"/>
      <c r="C4" s="72"/>
      <c r="D4" s="139" t="s">
        <v>2</v>
      </c>
      <c r="E4" s="139"/>
      <c r="F4" s="139"/>
      <c r="G4" s="69"/>
      <c r="H4" s="139" t="s">
        <v>3</v>
      </c>
      <c r="I4" s="139"/>
      <c r="J4" s="139"/>
    </row>
    <row r="5" spans="1:14" ht="21.6" customHeight="1">
      <c r="B5" s="72"/>
      <c r="C5" s="72"/>
      <c r="D5" s="140" t="s">
        <v>84</v>
      </c>
      <c r="E5" s="140"/>
      <c r="F5" s="140"/>
      <c r="G5" s="69"/>
      <c r="H5" s="140" t="s">
        <v>84</v>
      </c>
      <c r="I5" s="140"/>
      <c r="J5" s="140"/>
    </row>
    <row r="6" spans="1:14" ht="22.7" customHeight="1">
      <c r="B6" s="73" t="s">
        <v>6</v>
      </c>
      <c r="D6" s="7">
        <v>2566</v>
      </c>
      <c r="E6" s="7"/>
      <c r="F6" s="105">
        <v>2565</v>
      </c>
      <c r="G6" s="8"/>
      <c r="H6" s="7">
        <v>2566</v>
      </c>
      <c r="I6" s="7"/>
      <c r="J6" s="105">
        <v>2565</v>
      </c>
    </row>
    <row r="7" spans="1:14" ht="21.6" customHeight="1">
      <c r="D7" s="135" t="s">
        <v>7</v>
      </c>
      <c r="E7" s="135"/>
      <c r="F7" s="135"/>
      <c r="G7" s="135"/>
      <c r="H7" s="135"/>
      <c r="I7" s="135"/>
      <c r="J7" s="135"/>
    </row>
    <row r="8" spans="1:14" ht="22.7" customHeight="1">
      <c r="A8" s="126" t="s">
        <v>85</v>
      </c>
      <c r="D8" s="73"/>
      <c r="E8" s="73"/>
      <c r="F8" s="73"/>
      <c r="G8" s="73"/>
      <c r="H8" s="73"/>
      <c r="I8" s="73"/>
      <c r="J8" s="73"/>
    </row>
    <row r="9" spans="1:14" ht="22.7" customHeight="1">
      <c r="A9" s="127" t="s">
        <v>86</v>
      </c>
      <c r="B9" s="73" t="s">
        <v>87</v>
      </c>
      <c r="D9" s="31">
        <v>100713216536</v>
      </c>
      <c r="E9" s="31"/>
      <c r="F9" s="31">
        <v>84423618028</v>
      </c>
      <c r="G9" s="31"/>
      <c r="H9" s="31">
        <v>0</v>
      </c>
      <c r="I9" s="31"/>
      <c r="J9" s="31">
        <v>0</v>
      </c>
      <c r="K9" s="74"/>
      <c r="L9" s="51"/>
      <c r="M9" s="51"/>
      <c r="N9" s="51"/>
    </row>
    <row r="10" spans="1:14" ht="22.7" customHeight="1">
      <c r="A10" s="127" t="s">
        <v>88</v>
      </c>
      <c r="B10" s="73">
        <v>16</v>
      </c>
      <c r="D10" s="31">
        <v>8039024101</v>
      </c>
      <c r="E10" s="31"/>
      <c r="F10" s="31">
        <v>4812712273</v>
      </c>
      <c r="G10" s="31"/>
      <c r="H10" s="31">
        <v>0</v>
      </c>
      <c r="I10" s="31">
        <v>0</v>
      </c>
      <c r="J10" s="31">
        <v>0</v>
      </c>
      <c r="K10" s="74"/>
      <c r="L10" s="51"/>
      <c r="M10" s="51"/>
      <c r="N10" s="51"/>
    </row>
    <row r="11" spans="1:14" ht="22.7" customHeight="1">
      <c r="A11" s="127" t="s">
        <v>89</v>
      </c>
      <c r="B11" s="73" t="s">
        <v>90</v>
      </c>
      <c r="D11" s="31">
        <v>4194912046</v>
      </c>
      <c r="E11" s="31"/>
      <c r="F11" s="31">
        <v>4211781025</v>
      </c>
      <c r="G11" s="31"/>
      <c r="H11" s="31">
        <v>0</v>
      </c>
      <c r="I11" s="31"/>
      <c r="J11" s="31">
        <v>0</v>
      </c>
      <c r="K11" s="74"/>
      <c r="L11" s="51"/>
      <c r="M11" s="51"/>
      <c r="N11" s="51"/>
    </row>
    <row r="12" spans="1:14" ht="22.7" customHeight="1">
      <c r="A12" s="128" t="s">
        <v>91</v>
      </c>
      <c r="B12" s="73" t="s">
        <v>87</v>
      </c>
      <c r="D12" s="75">
        <v>1107288087</v>
      </c>
      <c r="E12" s="31"/>
      <c r="F12" s="110">
        <v>702773895</v>
      </c>
      <c r="G12" s="31"/>
      <c r="H12" s="75">
        <v>1791106969</v>
      </c>
      <c r="I12" s="31"/>
      <c r="J12" s="75">
        <v>1541603156</v>
      </c>
      <c r="K12" s="74"/>
      <c r="L12" s="51"/>
    </row>
    <row r="13" spans="1:14" s="69" customFormat="1" ht="22.7" customHeight="1">
      <c r="A13" s="129"/>
      <c r="B13" s="72"/>
      <c r="C13" s="72"/>
      <c r="D13" s="76">
        <f>SUM(D9:D12)</f>
        <v>114054440770</v>
      </c>
      <c r="E13" s="76"/>
      <c r="F13" s="76">
        <v>94150885221</v>
      </c>
      <c r="G13" s="76"/>
      <c r="H13" s="76">
        <f>SUM(H9:H12)</f>
        <v>1791106969</v>
      </c>
      <c r="I13" s="76"/>
      <c r="J13" s="76">
        <v>1541603156</v>
      </c>
      <c r="K13" s="77"/>
      <c r="L13" s="53"/>
    </row>
    <row r="14" spans="1:14" ht="22.7" customHeight="1">
      <c r="A14" s="127" t="s">
        <v>92</v>
      </c>
      <c r="B14" s="73" t="s">
        <v>93</v>
      </c>
      <c r="D14" s="31">
        <v>-87700556204</v>
      </c>
      <c r="E14" s="31"/>
      <c r="F14" s="31">
        <v>-70530741501</v>
      </c>
      <c r="G14" s="31"/>
      <c r="H14" s="31">
        <v>0</v>
      </c>
      <c r="I14" s="31"/>
      <c r="J14" s="31">
        <v>0</v>
      </c>
      <c r="K14" s="74"/>
      <c r="L14" s="51"/>
    </row>
    <row r="15" spans="1:14" ht="22.7" customHeight="1">
      <c r="A15" s="127" t="s">
        <v>94</v>
      </c>
      <c r="B15" s="73" t="s">
        <v>95</v>
      </c>
      <c r="D15" s="31">
        <v>-3871009471</v>
      </c>
      <c r="E15" s="31"/>
      <c r="F15" s="31">
        <v>-3887151294</v>
      </c>
      <c r="G15" s="31"/>
      <c r="H15" s="31">
        <v>0</v>
      </c>
      <c r="I15" s="31"/>
      <c r="J15" s="31">
        <v>0</v>
      </c>
      <c r="K15" s="74"/>
      <c r="L15" s="51"/>
    </row>
    <row r="16" spans="1:14" ht="22.7" customHeight="1">
      <c r="A16" s="128" t="s">
        <v>96</v>
      </c>
      <c r="B16" s="73">
        <v>17</v>
      </c>
      <c r="D16" s="75">
        <v>-450025111</v>
      </c>
      <c r="E16" s="31"/>
      <c r="F16" s="75">
        <v>-293093263</v>
      </c>
      <c r="G16" s="31"/>
      <c r="H16" s="75">
        <v>-831401433</v>
      </c>
      <c r="I16" s="31"/>
      <c r="J16" s="75">
        <v>-625713415</v>
      </c>
      <c r="K16" s="74"/>
      <c r="L16" s="51"/>
      <c r="N16" s="78"/>
    </row>
    <row r="17" spans="1:16" s="69" customFormat="1" ht="22.7" customHeight="1">
      <c r="A17" s="129" t="s">
        <v>97</v>
      </c>
      <c r="B17" s="72"/>
      <c r="C17" s="72"/>
      <c r="D17" s="76">
        <f>SUM(D13:D16)</f>
        <v>22032849984</v>
      </c>
      <c r="E17" s="76"/>
      <c r="F17" s="76">
        <v>19439899163</v>
      </c>
      <c r="G17" s="76"/>
      <c r="H17" s="76">
        <f>SUM(H13:H16)</f>
        <v>959705536</v>
      </c>
      <c r="I17" s="76"/>
      <c r="J17" s="76">
        <v>915889741</v>
      </c>
      <c r="K17" s="77"/>
      <c r="L17" s="53"/>
      <c r="N17" s="79"/>
    </row>
    <row r="18" spans="1:16" ht="8.4499999999999993" customHeight="1">
      <c r="A18" s="128"/>
      <c r="D18" s="31"/>
      <c r="E18" s="31"/>
      <c r="F18" s="31"/>
      <c r="G18" s="31"/>
      <c r="H18" s="31"/>
      <c r="I18" s="31"/>
      <c r="J18" s="31"/>
      <c r="K18" s="74"/>
      <c r="L18" s="51"/>
      <c r="N18" s="78"/>
    </row>
    <row r="19" spans="1:16" ht="22.7" customHeight="1">
      <c r="A19" s="128" t="s">
        <v>98</v>
      </c>
      <c r="B19" s="73">
        <v>5</v>
      </c>
      <c r="D19" s="31">
        <v>1938555337</v>
      </c>
      <c r="E19" s="31"/>
      <c r="F19" s="31">
        <v>243003769</v>
      </c>
      <c r="G19" s="31"/>
      <c r="H19" s="31">
        <v>1868386702</v>
      </c>
      <c r="I19" s="31"/>
      <c r="J19" s="31">
        <v>1286843286</v>
      </c>
      <c r="L19" s="51"/>
      <c r="N19" s="78"/>
    </row>
    <row r="20" spans="1:16" ht="22.7" customHeight="1">
      <c r="A20" s="128" t="s">
        <v>99</v>
      </c>
      <c r="B20" s="73" t="s">
        <v>100</v>
      </c>
      <c r="D20" s="31">
        <v>687008245</v>
      </c>
      <c r="E20" s="31"/>
      <c r="F20" s="31">
        <v>606523811</v>
      </c>
      <c r="G20" s="31"/>
      <c r="H20" s="31">
        <v>171846524</v>
      </c>
      <c r="I20" s="31"/>
      <c r="J20" s="31">
        <v>4927359</v>
      </c>
      <c r="K20" s="74"/>
      <c r="L20" s="51"/>
      <c r="M20" s="78"/>
      <c r="N20" s="78"/>
    </row>
    <row r="21" spans="1:16" ht="22.7" customHeight="1">
      <c r="A21" s="128" t="s">
        <v>101</v>
      </c>
      <c r="B21" s="73">
        <v>5</v>
      </c>
      <c r="D21" s="31">
        <v>270724683</v>
      </c>
      <c r="E21" s="31"/>
      <c r="F21" s="31">
        <v>75760383</v>
      </c>
      <c r="G21" s="31"/>
      <c r="H21" s="31">
        <v>17102498756</v>
      </c>
      <c r="I21" s="31"/>
      <c r="J21" s="31">
        <v>7542895801</v>
      </c>
      <c r="L21" s="51"/>
      <c r="N21" s="78"/>
    </row>
    <row r="22" spans="1:16" ht="22.7" customHeight="1">
      <c r="A22" s="128" t="s">
        <v>102</v>
      </c>
      <c r="B22" s="73" t="s">
        <v>93</v>
      </c>
      <c r="D22" s="31">
        <v>-3915334809</v>
      </c>
      <c r="E22" s="31"/>
      <c r="F22" s="31">
        <v>-2954590892</v>
      </c>
      <c r="G22" s="31"/>
      <c r="H22" s="31">
        <v>-1481296041</v>
      </c>
      <c r="I22" s="31"/>
      <c r="J22" s="31">
        <v>-1711201738</v>
      </c>
      <c r="K22" s="74"/>
      <c r="L22" s="51"/>
      <c r="N22" s="78"/>
    </row>
    <row r="23" spans="1:16" ht="22.7" customHeight="1">
      <c r="A23" s="127" t="s">
        <v>103</v>
      </c>
      <c r="D23" s="31">
        <v>-808469380</v>
      </c>
      <c r="E23" s="31"/>
      <c r="F23" s="31">
        <v>-627268371</v>
      </c>
      <c r="G23" s="31"/>
      <c r="H23" s="31">
        <v>-872237184</v>
      </c>
      <c r="I23" s="31"/>
      <c r="J23" s="31">
        <v>-25489458</v>
      </c>
      <c r="L23" s="51"/>
      <c r="N23" s="78"/>
    </row>
    <row r="24" spans="1:16" ht="22.7" customHeight="1">
      <c r="A24" s="129" t="s">
        <v>104</v>
      </c>
      <c r="D24" s="80">
        <f>SUM(D17:D23)</f>
        <v>20205334060</v>
      </c>
      <c r="E24" s="76"/>
      <c r="F24" s="80">
        <v>16783327863</v>
      </c>
      <c r="G24" s="76"/>
      <c r="H24" s="80">
        <f>SUM(H17:H23)</f>
        <v>17748904293</v>
      </c>
      <c r="I24" s="76"/>
      <c r="J24" s="80">
        <v>8013864991</v>
      </c>
      <c r="K24" s="78"/>
      <c r="L24" s="51"/>
    </row>
    <row r="25" spans="1:16" ht="8.4499999999999993" customHeight="1">
      <c r="A25" s="129"/>
      <c r="D25" s="31"/>
      <c r="E25" s="31"/>
      <c r="F25" s="31"/>
      <c r="G25" s="31"/>
      <c r="H25" s="31"/>
      <c r="I25" s="31"/>
      <c r="J25" s="31"/>
      <c r="L25" s="51"/>
    </row>
    <row r="26" spans="1:16" ht="22.7" customHeight="1">
      <c r="A26" s="128" t="s">
        <v>105</v>
      </c>
      <c r="B26" s="73">
        <v>10</v>
      </c>
      <c r="D26" s="31">
        <v>10283507267</v>
      </c>
      <c r="E26" s="31"/>
      <c r="F26" s="31">
        <v>6321264483</v>
      </c>
      <c r="G26" s="31"/>
      <c r="H26" s="31">
        <v>0</v>
      </c>
      <c r="I26" s="31"/>
      <c r="J26" s="31">
        <v>0</v>
      </c>
      <c r="L26" s="51"/>
    </row>
    <row r="27" spans="1:16" ht="22.7" customHeight="1">
      <c r="A27" s="128" t="s">
        <v>106</v>
      </c>
      <c r="B27" s="73">
        <v>18</v>
      </c>
      <c r="D27" s="31">
        <v>-9816595090</v>
      </c>
      <c r="E27" s="31"/>
      <c r="F27" s="2">
        <v>-7651653722</v>
      </c>
      <c r="G27" s="31"/>
      <c r="H27" s="31">
        <v>-4642503743</v>
      </c>
      <c r="I27" s="31"/>
      <c r="J27" s="2">
        <v>-3230041507</v>
      </c>
      <c r="L27" s="51"/>
    </row>
    <row r="28" spans="1:16" ht="22.7" customHeight="1">
      <c r="A28" s="130" t="s">
        <v>107</v>
      </c>
      <c r="B28" s="72"/>
      <c r="C28" s="72"/>
      <c r="D28" s="80">
        <f>SUM(D24:D27)</f>
        <v>20672246237</v>
      </c>
      <c r="E28" s="76"/>
      <c r="F28" s="80">
        <v>15452938624</v>
      </c>
      <c r="G28" s="76"/>
      <c r="H28" s="80">
        <f>SUM(H24:H27)</f>
        <v>13106400550</v>
      </c>
      <c r="I28" s="76"/>
      <c r="J28" s="80">
        <v>4783823484</v>
      </c>
      <c r="K28" s="74"/>
      <c r="L28" s="51"/>
    </row>
    <row r="29" spans="1:16" ht="22.7" customHeight="1">
      <c r="A29" s="131" t="s">
        <v>108</v>
      </c>
      <c r="B29" s="73">
        <v>19</v>
      </c>
      <c r="D29" s="31">
        <v>-657588103</v>
      </c>
      <c r="E29" s="2"/>
      <c r="F29" s="21">
        <v>-1344139254</v>
      </c>
      <c r="G29" s="70"/>
      <c r="H29" s="21">
        <v>121128972</v>
      </c>
      <c r="I29" s="21"/>
      <c r="J29" s="21">
        <v>-115706538</v>
      </c>
      <c r="K29" s="81"/>
      <c r="L29" s="51"/>
    </row>
    <row r="30" spans="1:16" ht="22.7" customHeight="1" thickBot="1">
      <c r="A30" s="130" t="s">
        <v>109</v>
      </c>
      <c r="B30" s="72"/>
      <c r="C30" s="72"/>
      <c r="D30" s="82">
        <f>SUM(D28:D29)</f>
        <v>20014658134</v>
      </c>
      <c r="E30" s="11"/>
      <c r="F30" s="82">
        <v>14108799370</v>
      </c>
      <c r="G30" s="69"/>
      <c r="H30" s="82">
        <f>SUM(H28:H29)</f>
        <v>13227529522</v>
      </c>
      <c r="I30" s="26"/>
      <c r="J30" s="82">
        <v>4668116946</v>
      </c>
      <c r="K30" s="78"/>
      <c r="L30" s="51"/>
      <c r="M30" s="81"/>
      <c r="N30" s="83"/>
      <c r="O30" s="83"/>
      <c r="P30" s="83"/>
    </row>
    <row r="31" spans="1:16" ht="9.9499999999999993" customHeight="1" thickTop="1">
      <c r="A31" s="129"/>
      <c r="D31" s="21"/>
      <c r="E31" s="21"/>
      <c r="F31" s="32"/>
      <c r="G31" s="21"/>
      <c r="H31" s="21"/>
      <c r="I31" s="21"/>
      <c r="J31" s="21"/>
    </row>
    <row r="32" spans="1:16" ht="22.7" customHeight="1">
      <c r="A32" s="130" t="s">
        <v>110</v>
      </c>
      <c r="D32" s="15"/>
      <c r="E32" s="34"/>
      <c r="F32" s="15"/>
      <c r="G32" s="34"/>
      <c r="H32" s="15"/>
      <c r="I32" s="34"/>
      <c r="J32" s="15"/>
    </row>
    <row r="33" spans="1:13" ht="22.7" customHeight="1">
      <c r="A33" s="121" t="s">
        <v>111</v>
      </c>
      <c r="D33" s="15"/>
      <c r="E33" s="34"/>
      <c r="F33" s="15"/>
      <c r="G33" s="34"/>
      <c r="H33" s="15"/>
      <c r="I33" s="34"/>
      <c r="J33" s="15"/>
    </row>
    <row r="34" spans="1:13" ht="22.7" customHeight="1">
      <c r="A34" s="121" t="s">
        <v>112</v>
      </c>
      <c r="D34" s="15"/>
      <c r="E34" s="34"/>
      <c r="F34" s="15"/>
      <c r="G34" s="34"/>
      <c r="H34" s="15"/>
      <c r="I34" s="34"/>
      <c r="J34" s="15"/>
    </row>
    <row r="35" spans="1:13" ht="22.7" customHeight="1">
      <c r="A35" s="103" t="s">
        <v>113</v>
      </c>
      <c r="D35" s="31">
        <v>-302651147</v>
      </c>
      <c r="E35" s="21"/>
      <c r="F35" s="31">
        <v>-419253043</v>
      </c>
      <c r="G35" s="21"/>
      <c r="H35" s="31">
        <v>0</v>
      </c>
      <c r="I35" s="21"/>
      <c r="J35" s="31">
        <v>0</v>
      </c>
      <c r="L35" s="51"/>
    </row>
    <row r="36" spans="1:13" ht="22.7" customHeight="1">
      <c r="A36" s="107" t="s">
        <v>114</v>
      </c>
      <c r="D36" s="31">
        <v>-254931210</v>
      </c>
      <c r="E36" s="2"/>
      <c r="F36" s="31">
        <v>9778312558</v>
      </c>
      <c r="G36" s="2"/>
      <c r="H36" s="31">
        <v>0</v>
      </c>
      <c r="I36" s="2"/>
      <c r="J36" s="31">
        <v>0</v>
      </c>
      <c r="L36" s="51"/>
    </row>
    <row r="37" spans="1:13" ht="22.7" customHeight="1">
      <c r="A37" s="107" t="s">
        <v>115</v>
      </c>
      <c r="D37" s="31"/>
      <c r="E37" s="2"/>
      <c r="F37" s="31"/>
      <c r="G37" s="2"/>
      <c r="H37" s="31"/>
      <c r="I37" s="2"/>
      <c r="J37" s="31"/>
      <c r="L37" s="51"/>
    </row>
    <row r="38" spans="1:13" ht="22.7" customHeight="1">
      <c r="A38" s="107" t="s">
        <v>116</v>
      </c>
      <c r="D38" s="31"/>
      <c r="E38" s="2"/>
      <c r="F38" s="31"/>
      <c r="G38" s="2"/>
      <c r="H38" s="31"/>
      <c r="I38" s="2"/>
      <c r="J38" s="31"/>
      <c r="L38" s="51"/>
    </row>
    <row r="39" spans="1:13" ht="22.7" customHeight="1">
      <c r="A39" s="107" t="s">
        <v>117</v>
      </c>
      <c r="D39" s="31">
        <v>-453044</v>
      </c>
      <c r="E39" s="2"/>
      <c r="F39" s="31">
        <v>0</v>
      </c>
      <c r="G39" s="2"/>
      <c r="H39" s="31">
        <f>-128220-44523</f>
        <v>-172743</v>
      </c>
      <c r="I39" s="2"/>
      <c r="J39" s="31">
        <v>0</v>
      </c>
      <c r="L39" s="51"/>
    </row>
    <row r="40" spans="1:13" ht="22.7" customHeight="1">
      <c r="A40" s="107" t="s">
        <v>118</v>
      </c>
      <c r="B40" s="6"/>
      <c r="C40" s="6"/>
      <c r="D40" s="15"/>
      <c r="E40" s="34"/>
      <c r="F40" s="15"/>
      <c r="G40" s="34"/>
      <c r="H40" s="15"/>
      <c r="I40" s="34"/>
      <c r="J40" s="15"/>
      <c r="L40" s="51"/>
    </row>
    <row r="41" spans="1:13" ht="22.7" customHeight="1">
      <c r="A41" s="103" t="s">
        <v>116</v>
      </c>
      <c r="B41" s="6"/>
      <c r="C41" s="6"/>
      <c r="D41" s="15"/>
      <c r="E41" s="34"/>
      <c r="F41" s="15"/>
      <c r="G41" s="34"/>
      <c r="H41" s="15"/>
      <c r="I41" s="34"/>
      <c r="J41" s="15"/>
      <c r="L41" s="51"/>
    </row>
    <row r="42" spans="1:13" ht="22.7" customHeight="1">
      <c r="A42" s="103" t="s">
        <v>117</v>
      </c>
      <c r="B42" s="6"/>
      <c r="C42" s="6"/>
      <c r="D42" s="34">
        <v>2446309</v>
      </c>
      <c r="E42" s="34"/>
      <c r="F42" s="31">
        <v>31695</v>
      </c>
      <c r="G42" s="34"/>
      <c r="H42" s="34">
        <v>44523</v>
      </c>
      <c r="I42" s="34"/>
      <c r="J42" s="34">
        <v>12261</v>
      </c>
      <c r="L42" s="51"/>
    </row>
    <row r="43" spans="1:13" ht="22.7" customHeight="1">
      <c r="A43" s="107" t="s">
        <v>119</v>
      </c>
      <c r="D43" s="31"/>
      <c r="E43" s="21"/>
      <c r="F43" s="31"/>
      <c r="G43" s="21"/>
      <c r="H43" s="31"/>
      <c r="I43" s="21"/>
      <c r="J43" s="31"/>
      <c r="L43" s="51"/>
    </row>
    <row r="44" spans="1:13" ht="22.7" customHeight="1">
      <c r="A44" s="103" t="s">
        <v>120</v>
      </c>
      <c r="B44" s="73">
        <v>10</v>
      </c>
      <c r="D44" s="75">
        <v>-745885610</v>
      </c>
      <c r="E44" s="21"/>
      <c r="F44" s="75">
        <v>2073731268</v>
      </c>
      <c r="G44" s="21"/>
      <c r="H44" s="75">
        <v>0</v>
      </c>
      <c r="I44" s="21"/>
      <c r="J44" s="75">
        <v>0</v>
      </c>
      <c r="L44" s="51"/>
    </row>
    <row r="45" spans="1:13" ht="22.7" customHeight="1">
      <c r="A45" s="104" t="s">
        <v>121</v>
      </c>
      <c r="D45" s="84"/>
      <c r="E45" s="2"/>
      <c r="F45" s="84"/>
      <c r="G45" s="2"/>
      <c r="H45" s="84"/>
      <c r="I45" s="2"/>
      <c r="J45" s="84"/>
      <c r="L45" s="51"/>
    </row>
    <row r="46" spans="1:13" ht="22.7" customHeight="1">
      <c r="A46" s="129" t="s">
        <v>122</v>
      </c>
      <c r="B46" s="6"/>
      <c r="C46" s="6"/>
      <c r="D46" s="85">
        <f>SUM(D35:D44)</f>
        <v>-1301474702</v>
      </c>
      <c r="E46" s="31"/>
      <c r="F46" s="85">
        <v>11432822478</v>
      </c>
      <c r="G46" s="34"/>
      <c r="H46" s="85">
        <f>SUM(H35:H44)</f>
        <v>-128220</v>
      </c>
      <c r="I46" s="31"/>
      <c r="J46" s="85">
        <v>12261</v>
      </c>
      <c r="K46" s="74"/>
      <c r="L46" s="117"/>
      <c r="M46" s="102"/>
    </row>
    <row r="47" spans="1:13" ht="22.7" customHeight="1">
      <c r="A47" s="136" t="s">
        <v>0</v>
      </c>
      <c r="B47" s="136"/>
      <c r="C47" s="136"/>
      <c r="D47" s="136"/>
      <c r="E47" s="136"/>
      <c r="F47" s="136"/>
      <c r="G47" s="136"/>
      <c r="H47" s="69"/>
      <c r="I47" s="69"/>
      <c r="J47" s="69"/>
    </row>
    <row r="48" spans="1:13" ht="22.7" customHeight="1">
      <c r="A48" s="1" t="s">
        <v>83</v>
      </c>
      <c r="B48" s="101"/>
      <c r="C48" s="71"/>
      <c r="D48" s="69"/>
      <c r="E48" s="69"/>
      <c r="F48" s="69"/>
      <c r="G48" s="69"/>
      <c r="H48" s="69"/>
      <c r="I48" s="69"/>
      <c r="J48" s="69"/>
    </row>
    <row r="49" spans="1:12" ht="13.5" customHeight="1">
      <c r="A49" s="69"/>
      <c r="B49" s="97"/>
      <c r="C49" s="69"/>
      <c r="D49" s="69"/>
      <c r="E49" s="69"/>
      <c r="F49" s="69"/>
      <c r="G49" s="69"/>
      <c r="H49" s="69"/>
      <c r="I49" s="69"/>
      <c r="J49" s="69"/>
    </row>
    <row r="50" spans="1:12" ht="21" customHeight="1">
      <c r="B50" s="72"/>
      <c r="C50" s="72"/>
      <c r="D50" s="139" t="s">
        <v>2</v>
      </c>
      <c r="E50" s="139"/>
      <c r="F50" s="139"/>
      <c r="G50" s="69"/>
      <c r="H50" s="139" t="s">
        <v>3</v>
      </c>
      <c r="I50" s="139"/>
      <c r="J50" s="139"/>
    </row>
    <row r="51" spans="1:12" ht="21" customHeight="1">
      <c r="B51" s="72"/>
      <c r="C51" s="72"/>
      <c r="D51" s="140" t="s">
        <v>84</v>
      </c>
      <c r="E51" s="140"/>
      <c r="F51" s="140"/>
      <c r="G51" s="69"/>
      <c r="H51" s="140" t="s">
        <v>84</v>
      </c>
      <c r="I51" s="140"/>
      <c r="J51" s="140"/>
    </row>
    <row r="52" spans="1:12" ht="21" customHeight="1">
      <c r="B52" s="6" t="s">
        <v>6</v>
      </c>
      <c r="C52" s="6"/>
      <c r="D52" s="7">
        <v>2566</v>
      </c>
      <c r="E52" s="7"/>
      <c r="F52" s="105">
        <v>2565</v>
      </c>
      <c r="G52" s="8"/>
      <c r="H52" s="7">
        <v>2566</v>
      </c>
      <c r="I52" s="7"/>
      <c r="J52" s="105">
        <v>2565</v>
      </c>
    </row>
    <row r="53" spans="1:12" ht="21" customHeight="1">
      <c r="D53" s="138" t="s">
        <v>7</v>
      </c>
      <c r="E53" s="138"/>
      <c r="F53" s="138"/>
      <c r="G53" s="138"/>
      <c r="H53" s="138"/>
      <c r="I53" s="138"/>
      <c r="J53" s="138"/>
    </row>
    <row r="54" spans="1:12" ht="22.7" customHeight="1">
      <c r="A54" s="121" t="s">
        <v>123</v>
      </c>
      <c r="B54" s="6"/>
      <c r="C54" s="6"/>
      <c r="D54" s="15"/>
      <c r="E54" s="34"/>
      <c r="F54" s="15"/>
      <c r="G54" s="34"/>
      <c r="H54" s="15"/>
      <c r="I54" s="34"/>
      <c r="J54" s="15"/>
      <c r="L54" s="51"/>
    </row>
    <row r="55" spans="1:12" ht="22.7" customHeight="1">
      <c r="A55" s="132" t="s">
        <v>112</v>
      </c>
      <c r="B55" s="6"/>
      <c r="C55" s="6"/>
      <c r="D55" s="15"/>
      <c r="E55" s="34"/>
      <c r="F55" s="15"/>
      <c r="G55" s="34"/>
      <c r="H55" s="15"/>
      <c r="I55" s="34"/>
      <c r="J55" s="15"/>
      <c r="L55" s="51"/>
    </row>
    <row r="56" spans="1:12" ht="22.7" customHeight="1">
      <c r="A56" s="123" t="s">
        <v>124</v>
      </c>
      <c r="B56" s="6"/>
      <c r="C56" s="6"/>
      <c r="D56" s="15"/>
      <c r="E56" s="34"/>
      <c r="F56" s="15"/>
      <c r="G56" s="34"/>
      <c r="H56" s="15"/>
      <c r="I56" s="34"/>
      <c r="J56" s="15"/>
      <c r="L56" s="51"/>
    </row>
    <row r="57" spans="1:12" ht="22.7" customHeight="1">
      <c r="A57" s="122" t="s">
        <v>116</v>
      </c>
      <c r="B57" s="6"/>
      <c r="C57" s="6"/>
      <c r="D57" s="15"/>
      <c r="E57" s="34"/>
      <c r="F57" s="15"/>
      <c r="G57" s="34"/>
      <c r="H57" s="15"/>
      <c r="I57" s="34"/>
      <c r="J57" s="15"/>
      <c r="L57" s="51"/>
    </row>
    <row r="58" spans="1:12" ht="22.7" customHeight="1">
      <c r="A58" s="123" t="s">
        <v>117</v>
      </c>
      <c r="B58" s="6"/>
      <c r="C58" s="6"/>
      <c r="D58" s="15">
        <v>20300007</v>
      </c>
      <c r="E58" s="34"/>
      <c r="F58" s="15">
        <v>0</v>
      </c>
      <c r="G58" s="34"/>
      <c r="H58" s="15">
        <v>0</v>
      </c>
      <c r="I58" s="34"/>
      <c r="J58" s="15">
        <v>0</v>
      </c>
      <c r="L58" s="51"/>
    </row>
    <row r="59" spans="1:12" ht="22.7" customHeight="1">
      <c r="A59" s="107" t="s">
        <v>125</v>
      </c>
      <c r="B59" s="6"/>
      <c r="C59" s="6"/>
      <c r="D59" s="15"/>
      <c r="E59" s="34"/>
      <c r="F59" s="15"/>
      <c r="G59" s="34"/>
      <c r="H59" s="15"/>
      <c r="I59" s="34"/>
      <c r="J59" s="15"/>
      <c r="L59" s="51"/>
    </row>
    <row r="60" spans="1:12" ht="22.7" customHeight="1">
      <c r="A60" s="107" t="s">
        <v>116</v>
      </c>
      <c r="B60" s="6"/>
      <c r="C60" s="6"/>
      <c r="D60" s="15"/>
      <c r="E60" s="34"/>
      <c r="F60" s="15"/>
      <c r="G60" s="34"/>
      <c r="H60" s="15"/>
      <c r="I60" s="34"/>
      <c r="J60" s="15"/>
      <c r="L60" s="51"/>
    </row>
    <row r="61" spans="1:12" ht="22.7" customHeight="1">
      <c r="A61" s="103" t="s">
        <v>117</v>
      </c>
      <c r="B61" s="6"/>
      <c r="C61" s="6"/>
      <c r="D61" s="15">
        <v>-813548143</v>
      </c>
      <c r="E61" s="34"/>
      <c r="F61" s="15">
        <v>-383719439</v>
      </c>
      <c r="G61" s="34"/>
      <c r="H61" s="15">
        <v>-357054095</v>
      </c>
      <c r="I61" s="34"/>
      <c r="J61" s="15">
        <v>0</v>
      </c>
      <c r="L61" s="51"/>
    </row>
    <row r="62" spans="1:12" ht="21.75">
      <c r="A62" s="107" t="s">
        <v>126</v>
      </c>
      <c r="B62" s="6"/>
      <c r="C62" s="6"/>
      <c r="D62" s="15"/>
      <c r="E62" s="34"/>
      <c r="F62" s="15"/>
      <c r="G62" s="34"/>
      <c r="H62" s="15"/>
      <c r="I62" s="34"/>
      <c r="J62" s="15"/>
      <c r="L62" s="51"/>
    </row>
    <row r="63" spans="1:12" ht="22.7" customHeight="1">
      <c r="A63" s="107" t="s">
        <v>127</v>
      </c>
      <c r="B63" s="6"/>
      <c r="C63" s="6"/>
      <c r="D63" s="15">
        <v>-18620284</v>
      </c>
      <c r="E63" s="34"/>
      <c r="F63" s="15">
        <v>-130913171</v>
      </c>
      <c r="G63" s="34"/>
      <c r="H63" s="15">
        <v>0</v>
      </c>
      <c r="I63" s="34"/>
      <c r="J63" s="15">
        <v>-105645468</v>
      </c>
      <c r="L63" s="51"/>
    </row>
    <row r="64" spans="1:12" ht="22.7" customHeight="1">
      <c r="A64" s="107" t="s">
        <v>119</v>
      </c>
      <c r="B64" s="6"/>
      <c r="C64" s="6"/>
      <c r="D64" s="15"/>
      <c r="E64" s="34"/>
      <c r="F64" s="15"/>
      <c r="G64" s="34"/>
      <c r="H64" s="15"/>
      <c r="I64" s="34"/>
      <c r="J64" s="15"/>
      <c r="L64" s="51"/>
    </row>
    <row r="65" spans="1:13" ht="22.7" customHeight="1">
      <c r="A65" s="103" t="s">
        <v>120</v>
      </c>
      <c r="B65" s="6">
        <v>10</v>
      </c>
      <c r="C65" s="6"/>
      <c r="D65" s="86">
        <v>23791405</v>
      </c>
      <c r="E65" s="34"/>
      <c r="F65" s="86">
        <v>-25069504</v>
      </c>
      <c r="G65" s="34"/>
      <c r="H65" s="86">
        <v>0</v>
      </c>
      <c r="I65" s="34"/>
      <c r="J65" s="75">
        <v>0</v>
      </c>
      <c r="L65" s="51"/>
    </row>
    <row r="66" spans="1:13" ht="22.7" customHeight="1">
      <c r="A66" s="104" t="s">
        <v>128</v>
      </c>
      <c r="B66" s="6"/>
      <c r="C66" s="6"/>
      <c r="D66" s="84"/>
      <c r="E66" s="31"/>
      <c r="F66" s="84"/>
      <c r="G66" s="34"/>
      <c r="H66" s="84"/>
      <c r="I66" s="31"/>
      <c r="J66" s="84"/>
      <c r="L66" s="51"/>
    </row>
    <row r="67" spans="1:13" ht="22.7" customHeight="1">
      <c r="A67" s="104" t="s">
        <v>122</v>
      </c>
      <c r="B67" s="6"/>
      <c r="C67" s="6"/>
      <c r="D67" s="85">
        <f>SUM(D56:E65)</f>
        <v>-788077015</v>
      </c>
      <c r="E67" s="31"/>
      <c r="F67" s="85">
        <v>-539702114</v>
      </c>
      <c r="G67" s="34"/>
      <c r="H67" s="85">
        <f>SUM(H56:H65)</f>
        <v>-357054095</v>
      </c>
      <c r="I67" s="31"/>
      <c r="J67" s="85">
        <v>-105645468</v>
      </c>
      <c r="K67" s="78"/>
      <c r="L67" s="51"/>
      <c r="M67" s="102"/>
    </row>
    <row r="68" spans="1:13" ht="22.7" customHeight="1">
      <c r="A68" s="104" t="s">
        <v>129</v>
      </c>
      <c r="D68" s="87">
        <f>SUM(D67,D46)</f>
        <v>-2089551717</v>
      </c>
      <c r="E68" s="88"/>
      <c r="F68" s="87">
        <v>10893120364</v>
      </c>
      <c r="G68" s="88"/>
      <c r="H68" s="87">
        <f>SUM(H67,H46)</f>
        <v>-357182315</v>
      </c>
      <c r="I68" s="88"/>
      <c r="J68" s="87">
        <v>-105633207</v>
      </c>
      <c r="K68" s="78"/>
      <c r="L68" s="117"/>
      <c r="M68" s="102"/>
    </row>
    <row r="69" spans="1:13" ht="22.5" customHeight="1" thickBot="1">
      <c r="A69" s="129" t="s">
        <v>130</v>
      </c>
      <c r="D69" s="39">
        <f>D30+D68</f>
        <v>17925106417</v>
      </c>
      <c r="E69" s="21"/>
      <c r="F69" s="39">
        <v>25001919734</v>
      </c>
      <c r="G69" s="21"/>
      <c r="H69" s="39">
        <f>H30+H68</f>
        <v>12870347207</v>
      </c>
      <c r="I69" s="21"/>
      <c r="J69" s="39">
        <v>4562483739</v>
      </c>
      <c r="K69" s="78"/>
      <c r="L69" s="117"/>
      <c r="M69" s="102"/>
    </row>
    <row r="70" spans="1:13" ht="8.4499999999999993" customHeight="1" thickTop="1">
      <c r="A70" s="129"/>
      <c r="D70" s="89"/>
      <c r="F70" s="89"/>
      <c r="H70" s="89"/>
      <c r="J70" s="89"/>
    </row>
    <row r="71" spans="1:13" ht="22.7" customHeight="1">
      <c r="A71" s="104" t="s">
        <v>131</v>
      </c>
      <c r="B71" s="6"/>
      <c r="C71" s="6"/>
      <c r="D71" s="90"/>
      <c r="E71" s="3"/>
      <c r="F71" s="90"/>
      <c r="G71" s="3"/>
      <c r="H71" s="90"/>
      <c r="I71" s="3"/>
      <c r="J71" s="90"/>
      <c r="L71" s="74"/>
    </row>
    <row r="72" spans="1:13" ht="22.7" customHeight="1">
      <c r="A72" s="122" t="s">
        <v>132</v>
      </c>
      <c r="B72" s="6"/>
      <c r="C72" s="6"/>
      <c r="D72" s="21">
        <v>14857733913</v>
      </c>
      <c r="E72" s="21"/>
      <c r="F72" s="21">
        <v>11417560651</v>
      </c>
      <c r="G72" s="21"/>
      <c r="H72" s="21">
        <f>H30</f>
        <v>13227529522</v>
      </c>
      <c r="I72" s="21"/>
      <c r="J72" s="21">
        <v>4668116946</v>
      </c>
      <c r="K72" s="74"/>
      <c r="L72" s="51"/>
    </row>
    <row r="73" spans="1:13" ht="22.7" customHeight="1">
      <c r="A73" s="122" t="s">
        <v>133</v>
      </c>
      <c r="B73" s="6"/>
      <c r="C73" s="6"/>
      <c r="D73" s="21">
        <v>5156924221</v>
      </c>
      <c r="E73" s="2"/>
      <c r="F73" s="21">
        <v>2691238719</v>
      </c>
      <c r="G73" s="2"/>
      <c r="H73" s="62">
        <v>0</v>
      </c>
      <c r="I73" s="21"/>
      <c r="J73" s="21">
        <v>0</v>
      </c>
      <c r="L73" s="51"/>
    </row>
    <row r="74" spans="1:13" ht="22.7" customHeight="1" thickBot="1">
      <c r="A74" s="133" t="s">
        <v>134</v>
      </c>
      <c r="B74" s="24"/>
      <c r="C74" s="24"/>
      <c r="D74" s="82">
        <f>SUM(D72:D73)</f>
        <v>20014658134</v>
      </c>
      <c r="E74" s="11"/>
      <c r="F74" s="82">
        <v>14108799370</v>
      </c>
      <c r="G74" s="11"/>
      <c r="H74" s="82">
        <f>SUM(H72:H73)</f>
        <v>13227529522</v>
      </c>
      <c r="I74" s="26"/>
      <c r="J74" s="82">
        <v>4668116946</v>
      </c>
      <c r="K74" s="91"/>
      <c r="L74" s="51"/>
    </row>
    <row r="75" spans="1:13" ht="8.4499999999999993" customHeight="1" thickTop="1">
      <c r="A75" s="133"/>
      <c r="B75" s="24"/>
      <c r="C75" s="24"/>
      <c r="D75" s="38"/>
      <c r="E75" s="92"/>
      <c r="F75" s="38"/>
      <c r="G75" s="92"/>
      <c r="H75" s="38"/>
      <c r="I75" s="38"/>
      <c r="J75" s="38"/>
      <c r="L75" s="51"/>
    </row>
    <row r="76" spans="1:13" ht="22.7" customHeight="1">
      <c r="A76" s="133" t="s">
        <v>135</v>
      </c>
      <c r="B76" s="6"/>
      <c r="C76" s="6"/>
      <c r="D76" s="35"/>
      <c r="E76" s="41"/>
      <c r="F76" s="35"/>
      <c r="G76" s="41"/>
      <c r="H76" s="35"/>
      <c r="I76" s="35"/>
      <c r="J76" s="35"/>
      <c r="L76" s="51"/>
    </row>
    <row r="77" spans="1:13" ht="22.7" customHeight="1">
      <c r="A77" s="122" t="s">
        <v>132</v>
      </c>
      <c r="B77" s="6"/>
      <c r="C77" s="6"/>
      <c r="D77" s="111">
        <v>12837709734</v>
      </c>
      <c r="E77" s="2"/>
      <c r="F77" s="21">
        <v>19353511398</v>
      </c>
      <c r="G77" s="2"/>
      <c r="H77" s="21">
        <f>H69</f>
        <v>12870347207</v>
      </c>
      <c r="I77" s="21"/>
      <c r="J77" s="21">
        <v>4562483739</v>
      </c>
      <c r="K77" s="74"/>
      <c r="L77" s="51"/>
    </row>
    <row r="78" spans="1:13" ht="22.7" customHeight="1">
      <c r="A78" s="122" t="s">
        <v>133</v>
      </c>
      <c r="B78" s="6"/>
      <c r="C78" s="6"/>
      <c r="D78" s="62">
        <v>5087396683</v>
      </c>
      <c r="E78" s="2"/>
      <c r="F78" s="21">
        <v>5648408336</v>
      </c>
      <c r="G78" s="2"/>
      <c r="H78" s="62">
        <v>0</v>
      </c>
      <c r="I78" s="21"/>
      <c r="J78" s="21">
        <v>0</v>
      </c>
      <c r="L78" s="51"/>
    </row>
    <row r="79" spans="1:13" ht="22.7" customHeight="1" thickBot="1">
      <c r="A79" s="133" t="s">
        <v>130</v>
      </c>
      <c r="B79" s="24"/>
      <c r="C79" s="24"/>
      <c r="D79" s="82">
        <f>SUM(D77:D78)</f>
        <v>17925106417</v>
      </c>
      <c r="E79" s="11"/>
      <c r="F79" s="82">
        <v>25001919734</v>
      </c>
      <c r="G79" s="11"/>
      <c r="H79" s="82">
        <f>H69</f>
        <v>12870347207</v>
      </c>
      <c r="I79" s="26"/>
      <c r="J79" s="82">
        <v>4562483739</v>
      </c>
      <c r="K79" s="91"/>
      <c r="L79" s="74"/>
    </row>
    <row r="80" spans="1:13" ht="8.4499999999999993" customHeight="1" thickTop="1">
      <c r="A80" s="104"/>
      <c r="B80" s="6"/>
      <c r="C80" s="6"/>
      <c r="D80" s="35"/>
      <c r="E80" s="35"/>
      <c r="F80" s="35"/>
      <c r="G80" s="35"/>
      <c r="H80" s="35"/>
      <c r="I80" s="35"/>
      <c r="J80" s="35"/>
    </row>
    <row r="81" spans="1:11" ht="22.7" customHeight="1" thickBot="1">
      <c r="A81" s="104" t="s">
        <v>136</v>
      </c>
      <c r="B81" s="6">
        <v>20</v>
      </c>
      <c r="C81" s="6"/>
      <c r="D81" s="93">
        <v>1.27</v>
      </c>
      <c r="E81" s="94"/>
      <c r="F81" s="93">
        <v>0.97</v>
      </c>
      <c r="G81" s="94"/>
      <c r="H81" s="95">
        <v>1.1299999999999999</v>
      </c>
      <c r="I81" s="94"/>
      <c r="J81" s="95">
        <v>0.4</v>
      </c>
      <c r="K81" s="74"/>
    </row>
    <row r="82" spans="1:11" ht="22.7" customHeight="1" thickTop="1">
      <c r="E82" s="96"/>
      <c r="G82" s="96"/>
      <c r="I82" s="96"/>
    </row>
    <row r="83" spans="1:11" ht="22.7" customHeight="1">
      <c r="E83" s="96"/>
      <c r="G83" s="96"/>
      <c r="I83" s="96"/>
    </row>
  </sheetData>
  <mergeCells count="12">
    <mergeCell ref="D53:J53"/>
    <mergeCell ref="A1:H1"/>
    <mergeCell ref="D4:F4"/>
    <mergeCell ref="H4:J4"/>
    <mergeCell ref="D5:F5"/>
    <mergeCell ref="H5:J5"/>
    <mergeCell ref="D7:J7"/>
    <mergeCell ref="A47:G47"/>
    <mergeCell ref="D50:F50"/>
    <mergeCell ref="H50:J50"/>
    <mergeCell ref="D51:F51"/>
    <mergeCell ref="H51:J51"/>
  </mergeCells>
  <pageMargins left="0.8" right="0.48" top="0.8" bottom="0.4" header="0.3" footer="0.15"/>
  <pageSetup paperSize="9" scale="75" firstPageNumber="9" fitToHeight="0" orientation="portrait" useFirstPageNumber="1" r:id="rId1"/>
  <headerFooter>
    <oddFooter>&amp;L หมายเหตุประกอบงบการเงินเป็นส่วนหนึ่งของงบการเงินนี้
&amp;C&amp;P</oddFooter>
  </headerFooter>
  <rowBreaks count="1" manualBreakCount="1">
    <brk id="46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ea0139-c808-40c7-926c-11edc578932a">
      <Terms xmlns="http://schemas.microsoft.com/office/infopath/2007/PartnerControls"/>
    </lcf76f155ced4ddcb4097134ff3c332f>
    <TaxCatchAll xmlns="3b12176a-03ac-4acc-bcdd-aee4538e62e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1827AA159B22409D848A90D7FCEAED" ma:contentTypeVersion="11" ma:contentTypeDescription="Create a new document." ma:contentTypeScope="" ma:versionID="b0ef76399b49e255ced6408a328433ce">
  <xsd:schema xmlns:xsd="http://www.w3.org/2001/XMLSchema" xmlns:xs="http://www.w3.org/2001/XMLSchema" xmlns:p="http://schemas.microsoft.com/office/2006/metadata/properties" xmlns:ns2="c6ea0139-c808-40c7-926c-11edc578932a" xmlns:ns3="3b12176a-03ac-4acc-bcdd-aee4538e62e9" targetNamespace="http://schemas.microsoft.com/office/2006/metadata/properties" ma:root="true" ma:fieldsID="e45542ffdf42406b6dce3b6ccd42d6af" ns2:_="" ns3:_="">
    <xsd:import namespace="c6ea0139-c808-40c7-926c-11edc578932a"/>
    <xsd:import namespace="3b12176a-03ac-4acc-bcdd-aee4538e62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ea0139-c808-40c7-926c-11edc57893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2176a-03ac-4acc-bcdd-aee4538e62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90d9554-0ffe-48cf-97d9-3147f61016b7}" ma:internalName="TaxCatchAll" ma:showField="CatchAllData" ma:web="3b12176a-03ac-4acc-bcdd-aee4538e62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496569-F53D-4297-BF7F-699487F95428}"/>
</file>

<file path=customXml/itemProps2.xml><?xml version="1.0" encoding="utf-8"?>
<ds:datastoreItem xmlns:ds="http://schemas.openxmlformats.org/officeDocument/2006/customXml" ds:itemID="{24DC95CC-9819-4BC8-9C5D-D913DA9E6D03}"/>
</file>

<file path=customXml/itemProps3.xml><?xml version="1.0" encoding="utf-8"?>
<ds:datastoreItem xmlns:ds="http://schemas.openxmlformats.org/officeDocument/2006/customXml" ds:itemID="{1F637095-EE2D-47D2-A65C-2B80C7384818}"/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Rongkaporn, Choomjit</dc:creator>
  <cp:keywords/>
  <dc:description/>
  <cp:lastModifiedBy/>
  <cp:revision/>
  <dcterms:created xsi:type="dcterms:W3CDTF">2021-01-06T16:31:37Z</dcterms:created>
  <dcterms:modified xsi:type="dcterms:W3CDTF">2025-02-27T23:02:11Z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0x010100CA1827AA159B22409D848A90D7FCEAED</vt:lpwstr>
  </property>
  <property fmtid="{D5CDD505-2E9C-101B-9397-08002B2CF9AE}" pid="3" name="MSIP_Label_6f7bf4bd-22f3-42dd-9f4f-81e9b24ee5b6_Enabled">
    <vt:lpwstr>true</vt:lpwstr>
  </property>
  <property fmtid="{D5CDD505-2E9C-101B-9397-08002B2CF9AE}" pid="4" name="MSIP_Label_6f7bf4bd-22f3-42dd-9f4f-81e9b24ee5b6_SetDate">
    <vt:lpwstr>2021-01-20T06:48:57Z</vt:lpwstr>
  </property>
  <property fmtid="{D5CDD505-2E9C-101B-9397-08002B2CF9AE}" pid="5" name="MSIP_Label_6f7bf4bd-22f3-42dd-9f4f-81e9b24ee5b6_Method">
    <vt:lpwstr>Standard</vt:lpwstr>
  </property>
  <property fmtid="{D5CDD505-2E9C-101B-9397-08002B2CF9AE}" pid="6" name="MSIP_Label_6f7bf4bd-22f3-42dd-9f4f-81e9b24ee5b6_Name">
    <vt:lpwstr>6f7bf4bd-22f3-42dd-9f4f-81e9b24ee5b6</vt:lpwstr>
  </property>
  <property fmtid="{D5CDD505-2E9C-101B-9397-08002B2CF9AE}" pid="7" name="MSIP_Label_6f7bf4bd-22f3-42dd-9f4f-81e9b24ee5b6_SiteId">
    <vt:lpwstr>d39b3018-688f-4d0d-9fce-8c3cb1169c21</vt:lpwstr>
  </property>
  <property fmtid="{D5CDD505-2E9C-101B-9397-08002B2CF9AE}" pid="8" name="MSIP_Label_6f7bf4bd-22f3-42dd-9f4f-81e9b24ee5b6_ActionId">
    <vt:lpwstr>e7a11026-0403-4700-87e2-c997a0f20bd8</vt:lpwstr>
  </property>
  <property fmtid="{D5CDD505-2E9C-101B-9397-08002B2CF9AE}" pid="9" name="MSIP_Label_6f7bf4bd-22f3-42dd-9f4f-81e9b24ee5b6_ContentBits">
    <vt:lpwstr>0</vt:lpwstr>
  </property>
  <property fmtid="{D5CDD505-2E9C-101B-9397-08002B2CF9AE}" pid="10" name="MediaServiceImageTags">
    <vt:lpwstr/>
  </property>
</Properties>
</file>