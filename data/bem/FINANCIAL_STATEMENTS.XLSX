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yoffice.accenture.com/personal/siraput_chaosanguan_accenture_com/Documents/01 Project/21. KTB_CBC credit write up/01 Financial statement input/BEM/FS 2566/Cut version/"/>
    </mc:Choice>
  </mc:AlternateContent>
  <xr:revisionPtr revIDLastSave="0" documentId="13_ncr:3_{6C4142E1-CFFD-4447-82C9-CE25EEEB407E}" xr6:coauthVersionLast="47" xr6:coauthVersionMax="47" xr10:uidLastSave="{00000000-0000-0000-0000-000000000000}"/>
  <bookViews>
    <workbookView xWindow="-216" yWindow="12852" windowWidth="23256" windowHeight="12456" activeTab="1" xr2:uid="{00000000-000D-0000-FFFF-FFFF00000000}"/>
  </bookViews>
  <sheets>
    <sheet name="BS" sheetId="1" r:id="rId1"/>
    <sheet name="PL" sheetId="5" r:id="rId2"/>
    <sheet name="CI (1 statement)" sheetId="4" state="hidden" r:id="rId3"/>
  </sheets>
  <definedNames>
    <definedName name="_xlnm.Print_Area" localSheetId="0">BS!$A$1:$J$95</definedName>
    <definedName name="_xlnm.Print_Area" localSheetId="2">'CI (1 statement)'!$A$1:$K$64</definedName>
    <definedName name="_xlnm.Print_Area" localSheetId="1">PL!$A$1:$K$56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84" i="1" l="1"/>
  <c r="H83" i="1"/>
  <c r="H82" i="1"/>
  <c r="H79" i="1"/>
  <c r="H78" i="1"/>
  <c r="D16" i="1" l="1"/>
  <c r="G53" i="5" l="1"/>
  <c r="E53" i="5"/>
  <c r="G9" i="5" l="1"/>
  <c r="G11" i="5" s="1"/>
  <c r="G14" i="5" s="1"/>
  <c r="G16" i="5" s="1"/>
  <c r="G18" i="5" s="1"/>
  <c r="I9" i="5"/>
  <c r="I11" i="5" s="1"/>
  <c r="I14" i="5" s="1"/>
  <c r="E9" i="5"/>
  <c r="E11" i="5" s="1"/>
  <c r="E14" i="5" s="1"/>
  <c r="K9" i="5"/>
  <c r="K11" i="5" s="1"/>
  <c r="K14" i="5" s="1"/>
  <c r="K41" i="5" l="1"/>
  <c r="G41" i="5"/>
  <c r="G23" i="5"/>
  <c r="G21" i="5" s="1"/>
  <c r="J85" i="1"/>
  <c r="J87" i="1" s="1"/>
  <c r="F85" i="1"/>
  <c r="J63" i="1"/>
  <c r="J54" i="1"/>
  <c r="F63" i="1"/>
  <c r="F54" i="1"/>
  <c r="J32" i="1"/>
  <c r="J16" i="1"/>
  <c r="F32" i="1"/>
  <c r="F16" i="1"/>
  <c r="F87" i="1" l="1"/>
  <c r="K16" i="5"/>
  <c r="K18" i="5" s="1"/>
  <c r="K21" i="5" s="1"/>
  <c r="G36" i="5"/>
  <c r="F33" i="1"/>
  <c r="F64" i="1"/>
  <c r="J64" i="1"/>
  <c r="J88" i="1" s="1"/>
  <c r="J33" i="1"/>
  <c r="F88" i="1" l="1"/>
  <c r="K36" i="5"/>
  <c r="D32" i="1" l="1"/>
  <c r="H32" i="1"/>
  <c r="E46" i="5" l="1"/>
  <c r="I46" i="5" l="1"/>
  <c r="D63" i="1" l="1"/>
  <c r="E41" i="5" l="1"/>
  <c r="E47" i="5" s="1"/>
  <c r="K46" i="5" l="1"/>
  <c r="K47" i="5" s="1"/>
  <c r="K49" i="5" s="1"/>
  <c r="K52" i="5" s="1"/>
  <c r="D54" i="1" l="1"/>
  <c r="D78" i="1" l="1"/>
  <c r="D82" i="1"/>
  <c r="D80" i="1" l="1"/>
  <c r="D79" i="1"/>
  <c r="G46" i="5"/>
  <c r="G47" i="5" s="1"/>
  <c r="G49" i="5" s="1"/>
  <c r="G54" i="5" s="1"/>
  <c r="G52" i="5" s="1"/>
  <c r="D84" i="1" l="1"/>
  <c r="D33" i="1"/>
  <c r="I41" i="5" l="1"/>
  <c r="I47" i="5" s="1"/>
  <c r="I16" i="5" l="1"/>
  <c r="I18" i="5" l="1"/>
  <c r="I49" i="5" l="1"/>
  <c r="I52" i="5" s="1"/>
  <c r="I21" i="5"/>
  <c r="I36" i="5"/>
  <c r="H63" i="1" l="1"/>
  <c r="H85" i="1" l="1"/>
  <c r="H54" i="1"/>
  <c r="D64" i="1"/>
  <c r="H16" i="1"/>
  <c r="H87" i="1" l="1"/>
  <c r="H64" i="1"/>
  <c r="H88" i="1" s="1"/>
  <c r="H33" i="1" l="1"/>
  <c r="E16" i="5" l="1"/>
  <c r="E18" i="5" l="1"/>
  <c r="E23" i="5" s="1"/>
  <c r="E21" i="5" s="1"/>
  <c r="E36" i="5" l="1"/>
  <c r="E49" i="5"/>
  <c r="E54" i="5" s="1"/>
  <c r="D83" i="1" l="1"/>
  <c r="D85" i="1" s="1"/>
  <c r="E52" i="5" l="1"/>
  <c r="D86" i="1" l="1"/>
  <c r="D87" i="1" l="1"/>
  <c r="D88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Thanyaluk.Suenitikul</author>
  </authors>
  <commentList>
    <comment ref="D20" authorId="0" shapeId="0" xr:uid="{00000000-0006-0000-0500-000001000000}">
      <text>
        <r>
          <rPr>
            <b/>
            <sz val="8"/>
            <color indexed="81"/>
            <rFont val="Tahoma"/>
            <family val="2"/>
          </rPr>
          <t>เปิดเหมือน quarter ตามคำชี้แจงของกรมพัฒ ฉบับที่ 2/2552</t>
        </r>
      </text>
    </comment>
  </commentList>
</comments>
</file>

<file path=xl/sharedStrings.xml><?xml version="1.0" encoding="utf-8"?>
<sst xmlns="http://schemas.openxmlformats.org/spreadsheetml/2006/main" count="210" uniqueCount="138">
  <si>
    <t>บริษัท XXX จำกัด (มหาชน) และบริษัทย่อย</t>
  </si>
  <si>
    <t>งบแสดงฐานะการเงิน</t>
  </si>
  <si>
    <t>(หน่วย: บาท)</t>
  </si>
  <si>
    <t>งบการเงินรวม</t>
  </si>
  <si>
    <t>งบการเงินเฉพาะกิจการ</t>
  </si>
  <si>
    <t>หมายเหตุ</t>
  </si>
  <si>
    <t>(ปรับปรุงใหม่)</t>
  </si>
  <si>
    <t>สินทรัพย์</t>
  </si>
  <si>
    <t>สินทรัพย์หมุนเวียน</t>
  </si>
  <si>
    <t>เงินสดและรายการเทียบเท่าเงินสด</t>
  </si>
  <si>
    <t>สินทรัพย์หมุนเวียนอื่น</t>
  </si>
  <si>
    <t>รวมสินทรัพย์หมุนเวียน</t>
  </si>
  <si>
    <t>สินทรัพย์ไม่หมุนเวียน</t>
  </si>
  <si>
    <t>เงินลงทุนในบริษัทย่อย</t>
  </si>
  <si>
    <t>รวมสินทรัพย์ไม่หมุนเวียน</t>
  </si>
  <si>
    <t>รวมสินทรัพย์</t>
  </si>
  <si>
    <t>หมายเหตุประกอบงบการเงินเป็นส่วนหนึ่งของงบการเงินนี้</t>
  </si>
  <si>
    <t>งบแสดงฐานะการเงิน (ต่อ)</t>
  </si>
  <si>
    <t>หนี้สินและส่วนของผู้ถือหุ้น</t>
  </si>
  <si>
    <t>หนี้สินหมุนเวียน</t>
  </si>
  <si>
    <t>ภาษีเงินได้ค้างจ่าย</t>
  </si>
  <si>
    <t>หนี้สินหมุนเวียนอื่น</t>
  </si>
  <si>
    <t>รวมหนี้สินหมุนเวียน</t>
  </si>
  <si>
    <t>หนี้สินไม่หมุนเวียน</t>
  </si>
  <si>
    <t>สำรองผลประโยชน์ระยะยาวของพนักงาน</t>
  </si>
  <si>
    <t>รวมหนี้สินไม่หมุนเวียน</t>
  </si>
  <si>
    <t>รวมหนี้สิน</t>
  </si>
  <si>
    <t>ส่วนของผู้ถือหุ้น</t>
  </si>
  <si>
    <t>ทุนเรือนหุ้น</t>
  </si>
  <si>
    <t xml:space="preserve">   ทุนจดทะเบียน</t>
  </si>
  <si>
    <t>ส่วนของผู้มีส่วนได้เสียที่ไม่มีอำนาจควบคุมของบริษัทย่อย</t>
  </si>
  <si>
    <t>รวมส่วนของผู้ถือหุ้น</t>
  </si>
  <si>
    <t>รวมหนี้สินและส่วนของผู้ถือหุ้น</t>
  </si>
  <si>
    <t>กรรมการ</t>
  </si>
  <si>
    <t>รายได้</t>
  </si>
  <si>
    <t>รายได้จากการขายและบริการ</t>
  </si>
  <si>
    <t>รายได้อื่น</t>
  </si>
  <si>
    <t>รวมรายได้</t>
  </si>
  <si>
    <t>ค่าใช้จ่าย</t>
  </si>
  <si>
    <t>ต้นทุนขายและบริการ</t>
  </si>
  <si>
    <t>ค่าใช้จ่ายในการขาย</t>
  </si>
  <si>
    <t>ค่าใช้จ่ายในการบริหาร</t>
  </si>
  <si>
    <t>ค่าใช้จ่ายอื่น</t>
  </si>
  <si>
    <t>รวมค่าใช้จ่าย</t>
  </si>
  <si>
    <t>กำไร (ขาดทุน) ก่อนส่วนแบ่งกำไร (ขาดทุน) จากเงินลงทุน</t>
  </si>
  <si>
    <t xml:space="preserve">   ในบริษัทร่วมและการร่วมค้า ค่าใช้จ่ายทางการเงิน และ</t>
  </si>
  <si>
    <t>ส่วนแบ่งกำไร (ขาดทุน) จากเงินลงทุนในบริษัทร่วม</t>
  </si>
  <si>
    <t>ส่วนแบ่งกำไร (ขาดทุน) จากเงินลงทุนในการร่วมค้า</t>
  </si>
  <si>
    <t>ค่าใช้จ่ายทางการเงิน</t>
  </si>
  <si>
    <t>การแบ่งปันกำไร</t>
  </si>
  <si>
    <t>ส่วนที่เป็นของผู้มีส่วนได้เสียที่ไม่มีอำนาจควบคุมของบริษัทย่อย</t>
  </si>
  <si>
    <t xml:space="preserve">กำไรต่อหุ้น </t>
  </si>
  <si>
    <t>กำไรต่อหุ้นขั้นพื้นฐาน</t>
  </si>
  <si>
    <t>กำไรต่อหุ้นปรับลด</t>
  </si>
  <si>
    <t>งบกำไรขาดทุนเบ็ดเสร็จ</t>
  </si>
  <si>
    <t>ผลต่างของอัตราแลกเปลี่ยนจากการแปลงค่างบการเงิน</t>
  </si>
  <si>
    <t>ผลกำไร (ขาดทุน) จากการตีราคาที่ดินและอาคาร</t>
  </si>
  <si>
    <t>การแบ่งปันกำไรขาดทุนเบ็ดเสร็จรวม</t>
  </si>
  <si>
    <t>กำไรขาดทุน:</t>
  </si>
  <si>
    <t>กำไรขาดทุนเบ็ดเสร็จอื่น:</t>
  </si>
  <si>
    <t>งบกำไรขาดทุนเบ็ดเสร็จ (ต่อ)</t>
  </si>
  <si>
    <t>ส่วนของผู้ถือหุ้นของบริษัทฯ</t>
  </si>
  <si>
    <t>ส่วนที่เป็นของผู้ถือหุ้นของบริษัทฯ</t>
  </si>
  <si>
    <t xml:space="preserve">   กำไรส่วนที่เป็นของผู้ถือหุ้นของบริษัทฯ</t>
  </si>
  <si>
    <t>ผลกำไร (ขาดทุน) จากการวัดมูลค่าเงินลงทุนในหลักทรัพย์เผื่อขาย</t>
  </si>
  <si>
    <t xml:space="preserve">   ที่เป็นเงินตราต่างประเทศ</t>
  </si>
  <si>
    <t>[ตัวอย่างกรณีเลือกแสดงงบกำไรขาดทุนเบ็ดเสร็จแบบ 1 statement]</t>
  </si>
  <si>
    <r>
      <t>กำไรสำหรับ</t>
    </r>
    <r>
      <rPr>
        <b/>
        <sz val="16"/>
        <rFont val="Angsana New"/>
        <family val="1"/>
      </rPr>
      <t>ปี</t>
    </r>
  </si>
  <si>
    <t>กำไรขาดทุนเบ็ดเสร็จอื่นสำหรับปี</t>
  </si>
  <si>
    <t>กำไรขาดทุนเบ็ดเสร็จรวมสำหรับปี</t>
  </si>
  <si>
    <t>ลูกหนี้การค้าและลูกหนี้อื่น</t>
  </si>
  <si>
    <t>เจ้าหนี้การค้าและเจ้าหนี้อื่น</t>
  </si>
  <si>
    <t>สำหรับปีสิ้นสุดวันที่ 31 ธันวาคม 2555</t>
  </si>
  <si>
    <t>33</t>
  </si>
  <si>
    <t>ค่าใช้จ่ายภาษีเงินได้</t>
  </si>
  <si>
    <t>กำไร (ขาดทุน) ก่อนค่าใช้จ่ายทางการเงินและค่าใช้จ่ายภาษีเงินได้</t>
  </si>
  <si>
    <t xml:space="preserve">   ค่าใช้จ่ายภาษีเงินได้</t>
  </si>
  <si>
    <t>กำไร (ขาดทุน) ก่อนค่าใช้จ่ายภาษีเงินได้</t>
  </si>
  <si>
    <t>ผลกระทบของภาษีเงินได้ (กรณี adopt Deferred Tax)</t>
  </si>
  <si>
    <t>สินทรัพย์ไม่หมุนเวียนอื่น</t>
  </si>
  <si>
    <t>หนี้สินไม่หมุนเวียนอื่น</t>
  </si>
  <si>
    <t>สินทรัพย์ภาษีเงินได้รอการตัดบัญชี</t>
  </si>
  <si>
    <t xml:space="preserve">   จัดสรรแล้ว - สำรองตามกฎหมาย</t>
  </si>
  <si>
    <t xml:space="preserve">   ยังไม่ได้จัดสรร</t>
  </si>
  <si>
    <t>องค์ประกอบอื่นของส่วนของผู้ถือหุ้น</t>
  </si>
  <si>
    <t>บริษัท ทางด่วนและรถไฟฟ้ากรุงเทพ จำกัด (มหาชน) และบริษัทย่อย</t>
  </si>
  <si>
    <t>อสังหาริมทรัพย์เพื่อการลงทุน</t>
  </si>
  <si>
    <t xml:space="preserve">อาคารและอุปกรณ์ </t>
  </si>
  <si>
    <t>กำไรขาดทุนเบ็ดเสร็จอื่น</t>
  </si>
  <si>
    <t>กำไรสำหรับปี</t>
  </si>
  <si>
    <t>รายได้ค่าโดยสารรับล่วงหน้า</t>
  </si>
  <si>
    <t>เงินมัดจำค่าบัตรโดยสารแบบสะสมมูลค่า</t>
  </si>
  <si>
    <t xml:space="preserve">   ทุนที่ออกจำหน่ายและชำระเต็มมูลค่าแล้ว</t>
  </si>
  <si>
    <t>ส่วนเกินมูลค่าหุ้นสามัญ</t>
  </si>
  <si>
    <t>งบกำไรขาดทุน</t>
  </si>
  <si>
    <t>รายการที่จะถูกบันทึกในส่วนของกำไรหรือขาดทุนในภายหลัง</t>
  </si>
  <si>
    <t xml:space="preserve">งบกำไรขาดทุนเบ็ดเสร็จ </t>
  </si>
  <si>
    <t xml:space="preserve">      หุ้นสามัญ 15,285,000,000 หุ้น มูลค่าหุ้นละ 1 บาท</t>
  </si>
  <si>
    <t>เงินกู้ยืมระยะสั้นจากสถาบันการเงิน</t>
  </si>
  <si>
    <t xml:space="preserve">กำไรสะสม </t>
  </si>
  <si>
    <t>สินทรัพย์ไม่มีตัวตนอื่น</t>
  </si>
  <si>
    <t>ต้นทุนโครงการรถไฟฟ้าสายฉลองรัชธรรม</t>
  </si>
  <si>
    <t>ส่วนของลูกหนี้ภายใต้สัญญาสัมปทานที่ถึงกำหนดชำระภายในหนึ่งปี</t>
  </si>
  <si>
    <t>สินทรัพย์ไม่มีตัวตนภายใต้สัญญาสัมปทานโครงการรถไฟฟ้าสายสีน้ำเงิน</t>
  </si>
  <si>
    <t>ค่าตอบแทนโครงการรถไฟฟ้าจ่ายล่วงหน้า</t>
  </si>
  <si>
    <t>หนี้สินภาษีเงินได้รอการตัดบัญชี</t>
  </si>
  <si>
    <t>สิทธิในการใช้ประโยชน์บนงานก่อสร้างทางด่วน</t>
  </si>
  <si>
    <t>รายการที่จะไม่ถูกบันทึกในส่วนของกำไรหรือขาดทุนในภายหลัง</t>
  </si>
  <si>
    <t>ส่วนต่ำกว่าทุนจากการเปลี่ยนแปลงสัดส่วนการถือหุ้นในบริษัทย่อย</t>
  </si>
  <si>
    <t>เงินฝากธนาคารสำหรับรายได้ค่าโดยสารรับล่วงหน้า</t>
  </si>
  <si>
    <t>ส่วนของหุ้นกู้ที่ถึงกำหนดชำระภายในหนึ่งปี</t>
  </si>
  <si>
    <t>หุ้นกู้ - สุทธิจากส่วนที่ถึงกำหนดชำระภายในหนึ่งปี</t>
  </si>
  <si>
    <t>สินทรัพย์ภาษีเงินได้ของงวดปัจจุบัน</t>
  </si>
  <si>
    <t xml:space="preserve">สินทรัพย์สิทธิการใช้ </t>
  </si>
  <si>
    <t>ส่วนของหนี้สินตามสัญญาเช่าที่ถึงกำหนดชำระภายในหนึ่งปี</t>
  </si>
  <si>
    <t>หนี้สินทางการเงินหมุนเวียนอื่น</t>
  </si>
  <si>
    <t>หนี้สินตามสัญญาเช่า - สุทธิจากส่วนที่ถึงกำหนดชำระภายในหนึ่งปี</t>
  </si>
  <si>
    <t>ต้นทุนทางการเงิน</t>
  </si>
  <si>
    <t>สินทรัพย์ทางการเงินหมุนเวียนอื่น</t>
  </si>
  <si>
    <t>สินทรัพย์ทางการเงินไม่หมุนเวียนอื่น</t>
  </si>
  <si>
    <t>เงินกู้ยืมระยะยาวจากสถาบันการเงิน - สุทธิจาก</t>
  </si>
  <si>
    <t xml:space="preserve">   ส่วนที่ถึงกำหนดชำระภายในหนึ่งปี</t>
  </si>
  <si>
    <t>กำไรจากการดำเนินงาน</t>
  </si>
  <si>
    <t>กำไรจากการประมาณการตามหลักคณิตศาสตร์ประกันภัย - สุทธิจากภาษีเงินได้</t>
  </si>
  <si>
    <t>ส่วนของเงินกู้ยืมระยะยาวจากสถาบันการเงินที่ถึงกำหนดชำระภายในหนึ่งปี</t>
  </si>
  <si>
    <t>2565</t>
  </si>
  <si>
    <t>เงินให้กู้ยืมระยะยาวแก่กิจการที่เกี่ยวข้องกัน</t>
  </si>
  <si>
    <t>กำไรก่อนรายได้ภาษีเงินได้</t>
  </si>
  <si>
    <t>ณ วันที่ 31 ธันวาคม 2566</t>
  </si>
  <si>
    <t>2566</t>
  </si>
  <si>
    <t>สำหรับปีสิ้นสุดวันที่ 31 ธันวาคม 2566</t>
  </si>
  <si>
    <t>รายได้จากการให้บริการ</t>
  </si>
  <si>
    <t>ต้นทุนการให้บริการ</t>
  </si>
  <si>
    <t>กำไรขั้นต้น</t>
  </si>
  <si>
    <t>กำไรก่อนค่าใช้จ่าย</t>
  </si>
  <si>
    <t>กำไร (ขาดทุน) จากการป้องกันความเสี่ยงในกระแสเงินสด - สุทธิจากภาษีเงินได้</t>
  </si>
  <si>
    <t>ขาดทุนจากการเปลี่ยนแปลงมูลค่าของเงินลงทุน - สุทธิจากภาษีเงินได้</t>
  </si>
  <si>
    <t>ลูกหนี้ภายใต้สัญญาสัมปทาน - สุทธิ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</si>
</sst>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_([$€-2]\ * #,##0.00_);_([$€-2]\ * \(#,##0.00\);_([$€-2]\ * &quot;-&quot;??_);_(@_)"/>
    <numFmt numFmtId="166" formatCode="_(* #,##0.000_);_(* \(#,##0.000\);_(* &quot;-&quot;??_);_(@_)"/>
  </numFmts>
  <fonts count="17">
    <font>
      <sz val="10"/>
      <color theme="1"/>
      <name val="Arial"/>
      <family val="2"/>
    </font>
    <font>
      <b/>
      <sz val="16"/>
      <name val="Angsana New"/>
      <family val="1"/>
    </font>
    <font>
      <sz val="16"/>
      <name val="Angsana New"/>
      <family val="1"/>
    </font>
    <font>
      <u/>
      <sz val="16"/>
      <name val="Angsana New"/>
      <family val="1"/>
    </font>
    <font>
      <i/>
      <sz val="16"/>
      <name val="Angsana New"/>
      <family val="1"/>
    </font>
    <font>
      <sz val="15"/>
      <name val="Angsana New"/>
      <family val="1"/>
    </font>
    <font>
      <b/>
      <sz val="16"/>
      <color theme="1"/>
      <name val="Angsana New"/>
      <family val="1"/>
    </font>
    <font>
      <sz val="16"/>
      <color theme="1"/>
      <name val="Angsana New"/>
      <family val="1"/>
    </font>
    <font>
      <sz val="11"/>
      <color theme="1"/>
      <name val="Arial"/>
      <family val="2"/>
    </font>
    <font>
      <i/>
      <sz val="16"/>
      <color theme="1"/>
      <name val="Angsana New"/>
      <family val="1"/>
    </font>
    <font>
      <sz val="9"/>
      <color theme="1"/>
      <name val="Arial"/>
      <family val="2"/>
    </font>
    <font>
      <b/>
      <sz val="8"/>
      <color indexed="81"/>
      <name val="Tahoma"/>
      <family val="2"/>
    </font>
    <font>
      <b/>
      <i/>
      <sz val="18"/>
      <name val="Angsana New"/>
      <family val="1"/>
    </font>
    <font>
      <sz val="14"/>
      <name val="CordiaUPC"/>
      <family val="2"/>
      <charset val="222"/>
    </font>
    <font>
      <sz val="16"/>
      <color rgb="FFFF0000"/>
      <name val="Angsana New"/>
      <family val="1"/>
    </font>
    <font>
      <sz val="10"/>
      <color theme="1"/>
      <name val="Arial"/>
      <family val="2"/>
    </font>
    <font>
      <sz val="10"/>
      <name val="ApFont"/>
      <charset val="22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66FFFF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 style="thin">
        <color auto="1"/>
      </top>
      <bottom/>
      <diagonal/>
    </border>
  </borders>
  <cellStyleXfs count="8">
    <xf numFmtId="0" fontId="0" fillId="0" borderId="0"/>
    <xf numFmtId="0" fontId="13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6" fillId="0" borderId="0"/>
    <xf numFmtId="9" fontId="15" fillId="0" borderId="0" applyFont="0" applyFill="0" applyBorder="0" applyAlignment="0" applyProtection="0"/>
  </cellStyleXfs>
  <cellXfs count="127">
    <xf numFmtId="0" fontId="0" fillId="0" borderId="0" xfId="0"/>
    <xf numFmtId="37" fontId="5" fillId="0" borderId="0" xfId="0" applyNumberFormat="1" applyFont="1" applyAlignment="1">
      <alignment vertical="top"/>
    </xf>
    <xf numFmtId="37" fontId="2" fillId="0" borderId="0" xfId="0" applyNumberFormat="1" applyFont="1" applyAlignment="1">
      <alignment vertical="top"/>
    </xf>
    <xf numFmtId="37" fontId="2" fillId="0" borderId="0" xfId="0" applyNumberFormat="1" applyFont="1" applyAlignment="1">
      <alignment horizontal="right" vertical="top"/>
    </xf>
    <xf numFmtId="0" fontId="1" fillId="0" borderId="0" xfId="0" quotePrefix="1" applyFont="1" applyAlignment="1">
      <alignment horizontal="left" vertical="top"/>
    </xf>
    <xf numFmtId="164" fontId="2" fillId="0" borderId="0" xfId="0" quotePrefix="1" applyNumberFormat="1" applyFont="1" applyAlignment="1">
      <alignment horizontal="centerContinuous" vertical="top"/>
    </xf>
    <xf numFmtId="0" fontId="2" fillId="0" borderId="0" xfId="0" applyFont="1" applyAlignment="1">
      <alignment horizontal="centerContinuous" vertical="top"/>
    </xf>
    <xf numFmtId="164" fontId="2" fillId="0" borderId="0" xfId="0" applyNumberFormat="1" applyFont="1" applyAlignment="1">
      <alignment horizontal="centerContinuous" vertical="top"/>
    </xf>
    <xf numFmtId="164" fontId="2" fillId="0" borderId="0" xfId="0" applyNumberFormat="1" applyFont="1" applyAlignment="1">
      <alignment horizontal="left" vertical="top"/>
    </xf>
    <xf numFmtId="0" fontId="2" fillId="0" borderId="0" xfId="0" applyFont="1" applyAlignment="1">
      <alignment vertical="top"/>
    </xf>
    <xf numFmtId="164" fontId="2" fillId="0" borderId="0" xfId="0" applyNumberFormat="1" applyFont="1" applyAlignment="1">
      <alignment vertical="top"/>
    </xf>
    <xf numFmtId="164" fontId="1" fillId="0" borderId="1" xfId="0" applyNumberFormat="1" applyFont="1" applyBorder="1" applyAlignment="1">
      <alignment horizontal="center" vertical="top"/>
    </xf>
    <xf numFmtId="164" fontId="1" fillId="0" borderId="0" xfId="0" applyNumberFormat="1" applyFont="1" applyAlignment="1">
      <alignment vertical="top"/>
    </xf>
    <xf numFmtId="0" fontId="3" fillId="0" borderId="0" xfId="0" applyFont="1" applyAlignment="1">
      <alignment horizontal="center" vertical="top"/>
    </xf>
    <xf numFmtId="164" fontId="3" fillId="0" borderId="0" xfId="0" applyNumberFormat="1" applyFont="1" applyAlignment="1">
      <alignment horizontal="right" vertical="top"/>
    </xf>
    <xf numFmtId="1" fontId="3" fillId="0" borderId="0" xfId="0" applyNumberFormat="1" applyFont="1" applyAlignment="1">
      <alignment horizontal="center" vertical="top"/>
    </xf>
    <xf numFmtId="1" fontId="2" fillId="0" borderId="0" xfId="0" applyNumberFormat="1" applyFont="1" applyAlignment="1">
      <alignment vertical="top"/>
    </xf>
    <xf numFmtId="0" fontId="2" fillId="0" borderId="0" xfId="0" quotePrefix="1" applyFont="1" applyAlignment="1">
      <alignment horizontal="center" vertical="top"/>
    </xf>
    <xf numFmtId="0" fontId="1" fillId="0" borderId="0" xfId="0" applyFont="1" applyAlignment="1">
      <alignment vertical="top"/>
    </xf>
    <xf numFmtId="0" fontId="2" fillId="0" borderId="0" xfId="0" applyFont="1" applyAlignment="1">
      <alignment horizontal="left" vertical="top"/>
    </xf>
    <xf numFmtId="164" fontId="2" fillId="0" borderId="0" xfId="0" quotePrefix="1" applyNumberFormat="1" applyFont="1" applyAlignment="1">
      <alignment horizontal="left" vertical="top"/>
    </xf>
    <xf numFmtId="0" fontId="4" fillId="0" borderId="0" xfId="0" applyFont="1" applyAlignment="1">
      <alignment horizontal="center" vertical="top"/>
    </xf>
    <xf numFmtId="164" fontId="2" fillId="0" borderId="0" xfId="0" applyNumberFormat="1" applyFont="1" applyAlignment="1">
      <alignment horizontal="center" vertical="top"/>
    </xf>
    <xf numFmtId="164" fontId="2" fillId="0" borderId="2" xfId="0" applyNumberFormat="1" applyFont="1" applyBorder="1" applyAlignment="1">
      <alignment horizontal="center" vertical="top"/>
    </xf>
    <xf numFmtId="164" fontId="2" fillId="0" borderId="1" xfId="0" applyNumberFormat="1" applyFont="1" applyBorder="1" applyAlignment="1">
      <alignment horizontal="center" vertical="top"/>
    </xf>
    <xf numFmtId="0" fontId="1" fillId="0" borderId="0" xfId="0" applyFont="1" applyAlignment="1">
      <alignment horizontal="left" vertical="top"/>
    </xf>
    <xf numFmtId="165" fontId="6" fillId="0" borderId="0" xfId="0" applyNumberFormat="1" applyFont="1" applyAlignment="1">
      <alignment horizontal="right" vertical="top"/>
    </xf>
    <xf numFmtId="1" fontId="6" fillId="0" borderId="0" xfId="0" applyNumberFormat="1" applyFont="1" applyAlignment="1">
      <alignment horizontal="center" vertical="top"/>
    </xf>
    <xf numFmtId="165" fontId="6" fillId="0" borderId="0" xfId="0" applyNumberFormat="1" applyFont="1" applyAlignment="1">
      <alignment vertical="top"/>
    </xf>
    <xf numFmtId="41" fontId="6" fillId="0" borderId="0" xfId="0" applyNumberFormat="1" applyFont="1" applyAlignment="1">
      <alignment horizontal="right" vertical="top"/>
    </xf>
    <xf numFmtId="41" fontId="6" fillId="0" borderId="0" xfId="0" applyNumberFormat="1" applyFont="1" applyAlignment="1">
      <alignment vertical="top"/>
    </xf>
    <xf numFmtId="165" fontId="7" fillId="0" borderId="0" xfId="0" applyNumberFormat="1" applyFont="1" applyAlignment="1">
      <alignment vertical="top"/>
    </xf>
    <xf numFmtId="165" fontId="8" fillId="0" borderId="0" xfId="0" applyNumberFormat="1" applyFont="1" applyAlignment="1">
      <alignment vertical="top"/>
    </xf>
    <xf numFmtId="49" fontId="7" fillId="0" borderId="0" xfId="0" applyNumberFormat="1" applyFont="1" applyAlignment="1">
      <alignment vertical="top"/>
    </xf>
    <xf numFmtId="165" fontId="7" fillId="0" borderId="0" xfId="0" applyNumberFormat="1" applyFont="1" applyAlignment="1">
      <alignment horizontal="right" vertical="top"/>
    </xf>
    <xf numFmtId="1" fontId="7" fillId="0" borderId="0" xfId="0" applyNumberFormat="1" applyFont="1" applyAlignment="1">
      <alignment horizontal="center" vertical="top"/>
    </xf>
    <xf numFmtId="0" fontId="9" fillId="0" borderId="0" xfId="0" applyFont="1" applyAlignment="1">
      <alignment horizontal="center" vertical="top"/>
    </xf>
    <xf numFmtId="0" fontId="7" fillId="0" borderId="0" xfId="0" applyFont="1" applyAlignment="1">
      <alignment horizontal="right" vertical="top"/>
    </xf>
    <xf numFmtId="41" fontId="7" fillId="0" borderId="0" xfId="0" applyNumberFormat="1" applyFont="1" applyAlignment="1">
      <alignment horizontal="right" vertical="top"/>
    </xf>
    <xf numFmtId="41" fontId="7" fillId="0" borderId="0" xfId="0" applyNumberFormat="1" applyFont="1" applyAlignment="1">
      <alignment vertical="top"/>
    </xf>
    <xf numFmtId="165" fontId="10" fillId="0" borderId="0" xfId="0" applyNumberFormat="1" applyFont="1" applyAlignment="1">
      <alignment vertical="top"/>
    </xf>
    <xf numFmtId="41" fontId="7" fillId="0" borderId="1" xfId="0" applyNumberFormat="1" applyFont="1" applyBorder="1" applyAlignment="1">
      <alignment horizontal="right" vertical="top"/>
    </xf>
    <xf numFmtId="41" fontId="7" fillId="0" borderId="1" xfId="0" applyNumberFormat="1" applyFont="1" applyBorder="1" applyAlignment="1">
      <alignment vertical="top"/>
    </xf>
    <xf numFmtId="165" fontId="10" fillId="0" borderId="1" xfId="0" applyNumberFormat="1" applyFont="1" applyBorder="1" applyAlignment="1">
      <alignment vertical="top"/>
    </xf>
    <xf numFmtId="49" fontId="6" fillId="0" borderId="0" xfId="0" applyNumberFormat="1" applyFont="1" applyAlignment="1">
      <alignment vertical="top"/>
    </xf>
    <xf numFmtId="41" fontId="6" fillId="0" borderId="1" xfId="0" applyNumberFormat="1" applyFont="1" applyBorder="1" applyAlignment="1">
      <alignment horizontal="right" vertical="top"/>
    </xf>
    <xf numFmtId="41" fontId="6" fillId="0" borderId="4" xfId="0" applyNumberFormat="1" applyFont="1" applyBorder="1" applyAlignment="1">
      <alignment horizontal="right" vertical="top"/>
    </xf>
    <xf numFmtId="164" fontId="2" fillId="0" borderId="0" xfId="0" applyNumberFormat="1" applyFont="1" applyAlignment="1">
      <alignment horizontal="right" vertical="top"/>
    </xf>
    <xf numFmtId="164" fontId="2" fillId="0" borderId="4" xfId="0" applyNumberFormat="1" applyFont="1" applyBorder="1" applyAlignment="1">
      <alignment horizontal="right" vertical="top"/>
    </xf>
    <xf numFmtId="164" fontId="2" fillId="0" borderId="3" xfId="0" applyNumberFormat="1" applyFont="1" applyBorder="1" applyAlignment="1">
      <alignment horizontal="center" vertical="top"/>
    </xf>
    <xf numFmtId="43" fontId="2" fillId="0" borderId="4" xfId="0" applyNumberFormat="1" applyFont="1" applyBorder="1" applyAlignment="1">
      <alignment horizontal="right" vertical="top"/>
    </xf>
    <xf numFmtId="43" fontId="2" fillId="0" borderId="0" xfId="0" applyNumberFormat="1" applyFont="1" applyAlignment="1">
      <alignment vertical="top"/>
    </xf>
    <xf numFmtId="43" fontId="2" fillId="0" borderId="4" xfId="0" applyNumberFormat="1" applyFont="1" applyBorder="1" applyAlignment="1">
      <alignment vertical="top"/>
    </xf>
    <xf numFmtId="43" fontId="2" fillId="0" borderId="0" xfId="0" applyNumberFormat="1" applyFont="1" applyAlignment="1">
      <alignment horizontal="right" vertical="top"/>
    </xf>
    <xf numFmtId="41" fontId="2" fillId="0" borderId="0" xfId="0" applyNumberFormat="1" applyFont="1" applyAlignment="1">
      <alignment horizontal="right" vertical="top"/>
    </xf>
    <xf numFmtId="41" fontId="2" fillId="0" borderId="1" xfId="0" applyNumberFormat="1" applyFont="1" applyBorder="1" applyAlignment="1">
      <alignment horizontal="right" vertical="top"/>
    </xf>
    <xf numFmtId="41" fontId="2" fillId="0" borderId="3" xfId="0" applyNumberFormat="1" applyFont="1" applyBorder="1" applyAlignment="1">
      <alignment horizontal="right" vertical="top"/>
    </xf>
    <xf numFmtId="164" fontId="4" fillId="4" borderId="0" xfId="0" applyNumberFormat="1" applyFont="1" applyFill="1" applyAlignment="1">
      <alignment horizontal="left" vertical="top"/>
    </xf>
    <xf numFmtId="164" fontId="12" fillId="0" borderId="0" xfId="0" quotePrefix="1" applyNumberFormat="1" applyFont="1" applyAlignment="1">
      <alignment horizontal="centerContinuous" vertical="top"/>
    </xf>
    <xf numFmtId="0" fontId="12" fillId="0" borderId="0" xfId="0" applyFont="1" applyAlignment="1">
      <alignment horizontal="centerContinuous" vertical="top"/>
    </xf>
    <xf numFmtId="37" fontId="5" fillId="4" borderId="0" xfId="0" applyNumberFormat="1" applyFont="1" applyFill="1" applyAlignment="1">
      <alignment vertical="top"/>
    </xf>
    <xf numFmtId="0" fontId="1" fillId="2" borderId="0" xfId="0" quotePrefix="1" applyFont="1" applyFill="1" applyAlignment="1">
      <alignment horizontal="left" vertical="top"/>
    </xf>
    <xf numFmtId="165" fontId="7" fillId="3" borderId="1" xfId="0" applyNumberFormat="1" applyFont="1" applyFill="1" applyBorder="1" applyAlignment="1">
      <alignment vertical="top"/>
    </xf>
    <xf numFmtId="49" fontId="14" fillId="2" borderId="0" xfId="0" applyNumberFormat="1" applyFont="1" applyFill="1" applyAlignment="1">
      <alignment vertical="top"/>
    </xf>
    <xf numFmtId="37" fontId="5" fillId="2" borderId="0" xfId="0" applyNumberFormat="1" applyFont="1" applyFill="1" applyAlignment="1">
      <alignment vertical="top"/>
    </xf>
    <xf numFmtId="0" fontId="9" fillId="2" borderId="0" xfId="0" quotePrefix="1" applyFont="1" applyFill="1" applyAlignment="1">
      <alignment horizontal="center" vertical="top"/>
    </xf>
    <xf numFmtId="41" fontId="2" fillId="0" borderId="0" xfId="0" applyNumberFormat="1" applyFont="1" applyAlignment="1">
      <alignment horizontal="center" vertical="top"/>
    </xf>
    <xf numFmtId="41" fontId="2" fillId="0" borderId="0" xfId="0" applyNumberFormat="1" applyFont="1" applyAlignment="1">
      <alignment vertical="top"/>
    </xf>
    <xf numFmtId="41" fontId="2" fillId="0" borderId="1" xfId="0" applyNumberFormat="1" applyFont="1" applyBorder="1" applyAlignment="1">
      <alignment horizontal="center" vertical="top"/>
    </xf>
    <xf numFmtId="43" fontId="2" fillId="0" borderId="0" xfId="2" applyFont="1" applyFill="1" applyAlignment="1">
      <alignment vertical="top"/>
    </xf>
    <xf numFmtId="41" fontId="2" fillId="0" borderId="0" xfId="2" applyNumberFormat="1" applyFont="1" applyFill="1" applyAlignment="1">
      <alignment horizontal="right" vertical="top"/>
    </xf>
    <xf numFmtId="41" fontId="2" fillId="0" borderId="0" xfId="2" applyNumberFormat="1" applyFont="1" applyFill="1" applyBorder="1" applyAlignment="1">
      <alignment horizontal="right" vertical="top"/>
    </xf>
    <xf numFmtId="41" fontId="2" fillId="0" borderId="0" xfId="2" applyNumberFormat="1" applyFont="1" applyFill="1" applyAlignment="1">
      <alignment vertical="top"/>
    </xf>
    <xf numFmtId="41" fontId="2" fillId="0" borderId="1" xfId="2" applyNumberFormat="1" applyFont="1" applyFill="1" applyBorder="1" applyAlignment="1">
      <alignment horizontal="center" vertical="top"/>
    </xf>
    <xf numFmtId="0" fontId="3" fillId="0" borderId="0" xfId="2" quotePrefix="1" applyNumberFormat="1" applyFont="1" applyFill="1" applyBorder="1" applyAlignment="1">
      <alignment horizontal="center" vertical="center"/>
    </xf>
    <xf numFmtId="41" fontId="2" fillId="0" borderId="1" xfId="2" applyNumberFormat="1" applyFont="1" applyFill="1" applyBorder="1" applyAlignment="1">
      <alignment horizontal="right" vertical="top"/>
    </xf>
    <xf numFmtId="164" fontId="2" fillId="0" borderId="0" xfId="2" applyNumberFormat="1" applyFont="1" applyFill="1" applyAlignment="1">
      <alignment horizontal="centerContinuous" vertical="top"/>
    </xf>
    <xf numFmtId="164" fontId="1" fillId="0" borderId="0" xfId="2" applyNumberFormat="1" applyFont="1" applyFill="1" applyAlignment="1">
      <alignment vertical="top"/>
    </xf>
    <xf numFmtId="164" fontId="3" fillId="0" borderId="0" xfId="2" quotePrefix="1" applyNumberFormat="1" applyFont="1" applyFill="1" applyBorder="1" applyAlignment="1">
      <alignment horizontal="center" vertical="top"/>
    </xf>
    <xf numFmtId="164" fontId="2" fillId="0" borderId="0" xfId="2" applyNumberFormat="1" applyFont="1" applyFill="1" applyAlignment="1">
      <alignment vertical="top"/>
    </xf>
    <xf numFmtId="41" fontId="2" fillId="0" borderId="0" xfId="2" applyNumberFormat="1" applyFont="1" applyFill="1" applyAlignment="1">
      <alignment horizontal="left" vertical="top"/>
    </xf>
    <xf numFmtId="41" fontId="2" fillId="0" borderId="2" xfId="2" applyNumberFormat="1" applyFont="1" applyFill="1" applyBorder="1" applyAlignment="1">
      <alignment horizontal="right" vertical="top"/>
    </xf>
    <xf numFmtId="41" fontId="2" fillId="0" borderId="1" xfId="2" applyNumberFormat="1" applyFont="1" applyFill="1" applyBorder="1" applyAlignment="1">
      <alignment vertical="top"/>
    </xf>
    <xf numFmtId="41" fontId="2" fillId="0" borderId="3" xfId="2" applyNumberFormat="1" applyFont="1" applyFill="1" applyBorder="1" applyAlignment="1">
      <alignment horizontal="right" vertical="top"/>
    </xf>
    <xf numFmtId="41" fontId="2" fillId="0" borderId="0" xfId="2" applyNumberFormat="1" applyFont="1" applyFill="1" applyBorder="1" applyAlignment="1">
      <alignment horizontal="center" vertical="top"/>
    </xf>
    <xf numFmtId="41" fontId="2" fillId="0" borderId="2" xfId="2" applyNumberFormat="1" applyFont="1" applyFill="1" applyBorder="1" applyAlignment="1">
      <alignment horizontal="center" vertical="top"/>
    </xf>
    <xf numFmtId="164" fontId="2" fillId="0" borderId="0" xfId="2" applyNumberFormat="1" applyFont="1" applyFill="1" applyAlignment="1">
      <alignment horizontal="right" vertical="top"/>
    </xf>
    <xf numFmtId="41" fontId="2" fillId="0" borderId="4" xfId="0" applyNumberFormat="1" applyFont="1" applyBorder="1" applyAlignment="1">
      <alignment horizontal="right" vertical="top"/>
    </xf>
    <xf numFmtId="41" fontId="2" fillId="0" borderId="6" xfId="2" applyNumberFormat="1" applyFont="1" applyFill="1" applyBorder="1" applyAlignment="1">
      <alignment horizontal="right" vertical="top"/>
    </xf>
    <xf numFmtId="164" fontId="2" fillId="0" borderId="0" xfId="2" applyNumberFormat="1" applyFont="1" applyFill="1" applyBorder="1" applyAlignment="1">
      <alignment horizontal="right" vertical="top"/>
    </xf>
    <xf numFmtId="164" fontId="2" fillId="0" borderId="0" xfId="2" applyNumberFormat="1" applyFont="1" applyFill="1" applyBorder="1" applyAlignment="1">
      <alignment vertical="top"/>
    </xf>
    <xf numFmtId="0" fontId="2" fillId="0" borderId="0" xfId="0" applyFont="1" applyAlignment="1">
      <alignment horizontal="center" vertical="top"/>
    </xf>
    <xf numFmtId="164" fontId="1" fillId="0" borderId="0" xfId="0" applyNumberFormat="1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quotePrefix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vertical="top"/>
    </xf>
    <xf numFmtId="165" fontId="2" fillId="0" borderId="0" xfId="0" applyNumberFormat="1" applyFont="1" applyAlignment="1">
      <alignment horizontal="center" vertical="top"/>
    </xf>
    <xf numFmtId="1" fontId="2" fillId="0" borderId="0" xfId="0" applyNumberFormat="1" applyFont="1" applyAlignment="1">
      <alignment horizontal="center" vertical="top"/>
    </xf>
    <xf numFmtId="165" fontId="2" fillId="0" borderId="0" xfId="0" applyNumberFormat="1" applyFont="1" applyAlignment="1">
      <alignment vertical="top"/>
    </xf>
    <xf numFmtId="0" fontId="2" fillId="0" borderId="0" xfId="0" applyFont="1" applyAlignment="1">
      <alignment horizontal="right" vertical="top"/>
    </xf>
    <xf numFmtId="49" fontId="2" fillId="0" borderId="0" xfId="0" applyNumberFormat="1" applyFont="1" applyAlignment="1">
      <alignment vertical="top"/>
    </xf>
    <xf numFmtId="41" fontId="2" fillId="0" borderId="3" xfId="0" applyNumberFormat="1" applyFont="1" applyBorder="1" applyAlignment="1">
      <alignment horizontal="center" vertical="top"/>
    </xf>
    <xf numFmtId="164" fontId="1" fillId="0" borderId="0" xfId="0" applyNumberFormat="1" applyFont="1" applyAlignment="1">
      <alignment horizontal="center" vertical="top"/>
    </xf>
    <xf numFmtId="41" fontId="2" fillId="0" borderId="4" xfId="0" applyNumberFormat="1" applyFont="1" applyBorder="1" applyAlignment="1">
      <alignment horizontal="center" vertical="top"/>
    </xf>
    <xf numFmtId="49" fontId="4" fillId="0" borderId="0" xfId="0" applyNumberFormat="1" applyFont="1" applyAlignment="1">
      <alignment vertical="top"/>
    </xf>
    <xf numFmtId="165" fontId="1" fillId="0" borderId="0" xfId="0" applyNumberFormat="1" applyFont="1" applyAlignment="1">
      <alignment horizontal="center" vertical="top"/>
    </xf>
    <xf numFmtId="1" fontId="1" fillId="0" borderId="0" xfId="0" applyNumberFormat="1" applyFont="1" applyAlignment="1">
      <alignment horizontal="center" vertical="top"/>
    </xf>
    <xf numFmtId="37" fontId="1" fillId="0" borderId="0" xfId="0" applyNumberFormat="1" applyFont="1" applyAlignment="1">
      <alignment vertical="top"/>
    </xf>
    <xf numFmtId="41" fontId="7" fillId="0" borderId="6" xfId="0" applyNumberFormat="1" applyFont="1" applyBorder="1" applyAlignment="1">
      <alignment horizontal="right" vertical="top"/>
    </xf>
    <xf numFmtId="41" fontId="2" fillId="0" borderId="6" xfId="0" applyNumberFormat="1" applyFont="1" applyBorder="1" applyAlignment="1">
      <alignment horizontal="right" vertical="top"/>
    </xf>
    <xf numFmtId="43" fontId="2" fillId="0" borderId="0" xfId="2" applyFont="1" applyFill="1" applyAlignment="1">
      <alignment horizontal="right" vertical="top"/>
    </xf>
    <xf numFmtId="41" fontId="7" fillId="0" borderId="4" xfId="0" applyNumberFormat="1" applyFont="1" applyBorder="1" applyAlignment="1">
      <alignment horizontal="right" vertical="top"/>
    </xf>
    <xf numFmtId="166" fontId="2" fillId="0" borderId="0" xfId="0" applyNumberFormat="1" applyFont="1" applyAlignment="1">
      <alignment horizontal="right" vertical="top"/>
    </xf>
    <xf numFmtId="41" fontId="2" fillId="0" borderId="2" xfId="0" applyNumberFormat="1" applyFont="1" applyBorder="1" applyAlignment="1">
      <alignment horizontal="center" vertical="top"/>
    </xf>
    <xf numFmtId="0" fontId="2" fillId="0" borderId="0" xfId="0" quotePrefix="1" applyFont="1" applyAlignment="1">
      <alignment horizontal="left" vertical="top"/>
    </xf>
    <xf numFmtId="37" fontId="2" fillId="0" borderId="0" xfId="1" applyNumberFormat="1" applyFont="1" applyAlignment="1">
      <alignment vertical="top"/>
    </xf>
    <xf numFmtId="0" fontId="3" fillId="0" borderId="0" xfId="0" quotePrefix="1" applyFont="1" applyAlignment="1">
      <alignment horizontal="center" vertical="top"/>
    </xf>
    <xf numFmtId="41" fontId="2" fillId="0" borderId="0" xfId="0" applyNumberFormat="1" applyFont="1" applyAlignment="1">
      <alignment horizontal="left" vertical="top"/>
    </xf>
    <xf numFmtId="41" fontId="2" fillId="0" borderId="1" xfId="0" applyNumberFormat="1" applyFont="1" applyBorder="1" applyAlignment="1">
      <alignment vertical="top"/>
    </xf>
    <xf numFmtId="0" fontId="2" fillId="0" borderId="5" xfId="0" applyFont="1" applyBorder="1" applyAlignment="1">
      <alignment vertical="top"/>
    </xf>
    <xf numFmtId="41" fontId="0" fillId="0" borderId="0" xfId="0" applyNumberFormat="1"/>
    <xf numFmtId="43" fontId="0" fillId="0" borderId="0" xfId="2" applyFont="1"/>
    <xf numFmtId="9" fontId="0" fillId="0" borderId="0" xfId="7" applyFont="1"/>
    <xf numFmtId="164" fontId="2" fillId="0" borderId="0" xfId="0" applyNumberFormat="1" applyFont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center"/>
    </xf>
  </cellXfs>
  <cellStyles count="8">
    <cellStyle name="Comma" xfId="2" builtinId="3"/>
    <cellStyle name="Comma 11 2" xfId="4" xr:uid="{00000000-0005-0000-0000-000001000000}"/>
    <cellStyle name="Comma 2" xfId="5" xr:uid="{DE357184-BD5C-4BF5-A6D0-4D7AC4A825CF}"/>
    <cellStyle name="Normal" xfId="0" builtinId="0"/>
    <cellStyle name="Normal 31" xfId="6" xr:uid="{3F88E7E8-7E6F-42D8-9DC3-1B7D91A4B96B}"/>
    <cellStyle name="Normal 4" xfId="3" xr:uid="{00000000-0005-0000-0000-000003000000}"/>
    <cellStyle name="Normal_BS&amp;PLT Q1'2006" xfId="1" xr:uid="{00000000-0005-0000-0000-000004000000}"/>
    <cellStyle name="Percent" xfId="7" builtinId="5"/>
  </cellStyles>
  <dxfs count="0"/>
  <tableStyles count="0" defaultTableStyle="TableStyleMedium9" defaultPivotStyle="PivotStyleLight16"/>
  <colors>
    <mruColors>
      <color rgb="FFFF66FF"/>
      <color rgb="FF66FF33"/>
      <color rgb="FFFFFFCC"/>
      <color rgb="FF66FFFF"/>
      <color rgb="FF6600FF"/>
      <color rgb="FFCC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1"/>
  <sheetViews>
    <sheetView showGridLines="0" view="pageBreakPreview" zoomScaleNormal="100" zoomScaleSheetLayoutView="100" workbookViewId="0">
      <selection activeCell="F4" sqref="F4"/>
    </sheetView>
  </sheetViews>
  <sheetFormatPr defaultColWidth="10.5703125" defaultRowHeight="24" customHeight="1"/>
  <cols>
    <col min="1" max="1" width="52.5703125" style="9" customWidth="1"/>
    <col min="2" max="2" width="7.5703125" style="9" customWidth="1"/>
    <col min="3" max="3" width="8.5703125" style="9" customWidth="1"/>
    <col min="4" max="4" width="15.85546875" style="10" customWidth="1"/>
    <col min="5" max="5" width="1.42578125" style="79" customWidth="1"/>
    <col min="6" max="6" width="15.85546875" style="10" customWidth="1"/>
    <col min="7" max="7" width="1.42578125" style="10" customWidth="1"/>
    <col min="8" max="8" width="15.85546875" style="10" customWidth="1"/>
    <col min="9" max="9" width="1.42578125" style="10" customWidth="1"/>
    <col min="10" max="10" width="15.85546875" style="10" customWidth="1"/>
    <col min="11" max="11" width="1" style="10" customWidth="1"/>
    <col min="12" max="12" width="17" customWidth="1"/>
    <col min="13" max="13" width="15.5703125" customWidth="1"/>
    <col min="14" max="14" width="16.42578125" bestFit="1" customWidth="1"/>
    <col min="16" max="16" width="17.5703125" customWidth="1"/>
    <col min="17" max="17" width="17" customWidth="1"/>
    <col min="18" max="18" width="10.5703125" style="10"/>
    <col min="19" max="19" width="12.85546875" style="10" bestFit="1" customWidth="1"/>
    <col min="20" max="20" width="14.28515625" style="10" bestFit="1" customWidth="1"/>
    <col min="21" max="21" width="12.85546875" style="10" bestFit="1" customWidth="1"/>
    <col min="22" max="16384" width="10.5703125" style="10"/>
  </cols>
  <sheetData>
    <row r="1" spans="1:21" s="8" customFormat="1" ht="24" customHeight="1">
      <c r="A1" s="18" t="s">
        <v>85</v>
      </c>
      <c r="B1" s="18"/>
      <c r="C1" s="6"/>
      <c r="D1" s="7"/>
      <c r="E1" s="76"/>
      <c r="F1" s="7"/>
      <c r="G1" s="7"/>
      <c r="H1" s="7"/>
      <c r="I1" s="7"/>
      <c r="J1" s="7"/>
      <c r="K1" s="7"/>
      <c r="L1"/>
      <c r="M1"/>
      <c r="N1"/>
      <c r="O1"/>
      <c r="P1"/>
      <c r="Q1"/>
      <c r="T1" s="124"/>
      <c r="U1" s="124"/>
    </row>
    <row r="2" spans="1:21" s="8" customFormat="1" ht="24" customHeight="1">
      <c r="A2" s="18" t="s">
        <v>1</v>
      </c>
      <c r="B2" s="18"/>
      <c r="C2" s="6"/>
      <c r="D2" s="7"/>
      <c r="E2" s="76"/>
      <c r="F2" s="7"/>
      <c r="G2" s="7"/>
      <c r="H2" s="7"/>
      <c r="I2" s="7"/>
      <c r="J2" s="7"/>
      <c r="K2" s="5"/>
      <c r="L2"/>
      <c r="M2"/>
      <c r="N2"/>
      <c r="O2"/>
      <c r="P2"/>
      <c r="Q2"/>
    </row>
    <row r="3" spans="1:21" s="116" customFormat="1" ht="24" customHeight="1">
      <c r="A3" s="18" t="s">
        <v>128</v>
      </c>
      <c r="B3" s="18"/>
      <c r="C3" s="18"/>
      <c r="D3" s="18"/>
      <c r="E3" s="77"/>
      <c r="F3" s="18"/>
      <c r="G3" s="12"/>
      <c r="H3" s="18"/>
      <c r="I3" s="12"/>
      <c r="J3" s="18"/>
      <c r="K3" s="18"/>
      <c r="L3"/>
      <c r="M3"/>
      <c r="N3"/>
      <c r="O3"/>
      <c r="P3"/>
      <c r="Q3"/>
    </row>
    <row r="4" spans="1:21" s="116" customFormat="1" ht="24" customHeight="1">
      <c r="B4" s="9"/>
      <c r="C4" s="9"/>
      <c r="D4" s="9"/>
      <c r="E4" s="9"/>
      <c r="F4" s="9"/>
      <c r="G4" s="9"/>
      <c r="H4" s="9"/>
      <c r="I4" s="9"/>
      <c r="J4" s="100" t="s">
        <v>2</v>
      </c>
      <c r="K4" s="9"/>
      <c r="L4"/>
      <c r="M4"/>
      <c r="N4"/>
      <c r="O4"/>
      <c r="P4"/>
      <c r="Q4"/>
    </row>
    <row r="5" spans="1:21" ht="24" customHeight="1">
      <c r="D5" s="125" t="s">
        <v>3</v>
      </c>
      <c r="E5" s="125"/>
      <c r="F5" s="125"/>
      <c r="G5" s="12"/>
      <c r="H5" s="125" t="s">
        <v>4</v>
      </c>
      <c r="I5" s="125"/>
      <c r="J5" s="125"/>
      <c r="K5" s="12"/>
    </row>
    <row r="6" spans="1:21" ht="24" customHeight="1">
      <c r="C6" s="13" t="s">
        <v>5</v>
      </c>
      <c r="D6" s="78" t="s">
        <v>129</v>
      </c>
      <c r="F6" s="117" t="s">
        <v>125</v>
      </c>
      <c r="H6" s="78" t="s">
        <v>129</v>
      </c>
      <c r="J6" s="117" t="s">
        <v>125</v>
      </c>
    </row>
    <row r="7" spans="1:21" ht="24" customHeight="1">
      <c r="A7" s="18" t="s">
        <v>7</v>
      </c>
      <c r="B7" s="18"/>
      <c r="D7" s="79"/>
      <c r="F7" s="9"/>
      <c r="H7" s="9"/>
      <c r="J7" s="9"/>
    </row>
    <row r="8" spans="1:21" ht="24" customHeight="1">
      <c r="A8" s="18" t="s">
        <v>8</v>
      </c>
      <c r="B8" s="18"/>
      <c r="C8" s="21"/>
      <c r="D8" s="79"/>
    </row>
    <row r="9" spans="1:21" ht="24" customHeight="1">
      <c r="A9" s="9" t="s">
        <v>9</v>
      </c>
      <c r="C9" s="21">
        <v>7</v>
      </c>
      <c r="D9" s="70">
        <v>1246093019</v>
      </c>
      <c r="F9" s="70">
        <v>1787836238</v>
      </c>
      <c r="H9" s="67">
        <v>1029226366</v>
      </c>
      <c r="J9" s="67">
        <v>1410945524</v>
      </c>
    </row>
    <row r="10" spans="1:21" ht="24" customHeight="1">
      <c r="A10" s="9" t="s">
        <v>109</v>
      </c>
      <c r="C10" s="21">
        <v>8</v>
      </c>
      <c r="D10" s="70">
        <v>249162363</v>
      </c>
      <c r="F10" s="70">
        <v>229984555</v>
      </c>
      <c r="H10" s="67">
        <v>249162363</v>
      </c>
      <c r="J10" s="67">
        <v>229984555</v>
      </c>
    </row>
    <row r="11" spans="1:21" ht="24" customHeight="1">
      <c r="A11" s="9" t="s">
        <v>70</v>
      </c>
      <c r="C11" s="21">
        <v>9</v>
      </c>
      <c r="D11" s="71">
        <v>896962252</v>
      </c>
      <c r="F11" s="71">
        <v>647992309</v>
      </c>
      <c r="H11" s="54">
        <v>920781170</v>
      </c>
      <c r="J11" s="54">
        <v>800027621</v>
      </c>
    </row>
    <row r="12" spans="1:21" ht="24" customHeight="1">
      <c r="A12" s="9" t="s">
        <v>102</v>
      </c>
      <c r="C12" s="21">
        <v>10</v>
      </c>
      <c r="D12" s="70">
        <v>1649683274</v>
      </c>
      <c r="F12" s="70">
        <v>1649683274</v>
      </c>
      <c r="H12" s="54">
        <v>1649683274</v>
      </c>
      <c r="J12" s="54">
        <v>1649683274</v>
      </c>
      <c r="T12" s="124"/>
      <c r="U12" s="124"/>
    </row>
    <row r="13" spans="1:21" ht="24" customHeight="1">
      <c r="A13" s="9" t="s">
        <v>112</v>
      </c>
      <c r="C13" s="21"/>
      <c r="D13" s="70">
        <v>161984235</v>
      </c>
      <c r="F13" s="70">
        <v>144533107</v>
      </c>
      <c r="H13" s="54">
        <v>157382649</v>
      </c>
      <c r="J13" s="54">
        <v>142532837</v>
      </c>
    </row>
    <row r="14" spans="1:21" ht="24" customHeight="1">
      <c r="A14" s="9" t="s">
        <v>118</v>
      </c>
      <c r="C14" s="21">
        <v>11</v>
      </c>
      <c r="D14" s="67">
        <v>823623422</v>
      </c>
      <c r="F14" s="67">
        <v>946995194</v>
      </c>
      <c r="H14" s="67">
        <v>823623422</v>
      </c>
      <c r="J14" s="67">
        <v>946995194</v>
      </c>
    </row>
    <row r="15" spans="1:21" ht="24" customHeight="1">
      <c r="A15" s="9" t="s">
        <v>10</v>
      </c>
      <c r="C15" s="21"/>
      <c r="D15" s="80">
        <v>219652439</v>
      </c>
      <c r="F15" s="80">
        <v>158536307</v>
      </c>
      <c r="H15" s="118">
        <v>212165904</v>
      </c>
      <c r="J15" s="10">
        <v>153269345</v>
      </c>
    </row>
    <row r="16" spans="1:21" ht="24" customHeight="1">
      <c r="A16" s="18" t="s">
        <v>11</v>
      </c>
      <c r="B16" s="18"/>
      <c r="C16" s="21"/>
      <c r="D16" s="81">
        <f>SUM(D9:D15)</f>
        <v>5247161004</v>
      </c>
      <c r="F16" s="81">
        <f>SUM(F9:F15)</f>
        <v>5565560984</v>
      </c>
      <c r="H16" s="81">
        <f>SUM(H9:H15)</f>
        <v>5042025148</v>
      </c>
      <c r="J16" s="81">
        <f>SUM(J9:J15)</f>
        <v>5333438350</v>
      </c>
    </row>
    <row r="17" spans="1:20" ht="24" customHeight="1">
      <c r="A17" s="18" t="s">
        <v>12</v>
      </c>
      <c r="B17" s="18"/>
      <c r="C17" s="21"/>
      <c r="D17" s="67"/>
      <c r="F17" s="67"/>
      <c r="H17" s="67"/>
      <c r="J17" s="67"/>
      <c r="T17" s="79"/>
    </row>
    <row r="18" spans="1:20" ht="24" customHeight="1">
      <c r="A18" s="9" t="s">
        <v>137</v>
      </c>
      <c r="C18" s="21">
        <v>10</v>
      </c>
      <c r="D18" s="70">
        <v>2611998518</v>
      </c>
      <c r="F18" s="70">
        <v>4261681792</v>
      </c>
      <c r="H18" s="54">
        <v>2611998518</v>
      </c>
      <c r="J18" s="54">
        <v>4261681792</v>
      </c>
      <c r="T18" s="79"/>
    </row>
    <row r="19" spans="1:20" ht="24" customHeight="1">
      <c r="A19" s="9" t="s">
        <v>126</v>
      </c>
      <c r="C19" s="21">
        <v>6</v>
      </c>
      <c r="D19" s="70">
        <v>0</v>
      </c>
      <c r="F19" s="70">
        <v>0</v>
      </c>
      <c r="H19" s="54">
        <v>713000000</v>
      </c>
      <c r="J19" s="54">
        <v>300000000</v>
      </c>
    </row>
    <row r="20" spans="1:20" ht="24" customHeight="1">
      <c r="A20" s="9" t="s">
        <v>119</v>
      </c>
      <c r="C20" s="21">
        <v>11</v>
      </c>
      <c r="D20" s="54">
        <v>11681898461</v>
      </c>
      <c r="E20" s="10"/>
      <c r="F20" s="54">
        <v>13418815206</v>
      </c>
      <c r="H20" s="54">
        <v>11646898361</v>
      </c>
      <c r="J20" s="54">
        <v>13418815206</v>
      </c>
    </row>
    <row r="21" spans="1:20" ht="24" customHeight="1">
      <c r="A21" s="9" t="s">
        <v>13</v>
      </c>
      <c r="C21" s="21">
        <v>12</v>
      </c>
      <c r="D21" s="54">
        <v>0</v>
      </c>
      <c r="F21" s="54">
        <v>0</v>
      </c>
      <c r="H21" s="54">
        <v>767729867</v>
      </c>
      <c r="J21" s="54">
        <v>767729867</v>
      </c>
    </row>
    <row r="22" spans="1:20" ht="24" customHeight="1">
      <c r="A22" s="9" t="s">
        <v>86</v>
      </c>
      <c r="C22" s="21">
        <v>13</v>
      </c>
      <c r="D22" s="70">
        <v>120357493</v>
      </c>
      <c r="F22" s="70">
        <v>120357493</v>
      </c>
      <c r="H22" s="54">
        <v>120357493</v>
      </c>
      <c r="J22" s="54">
        <v>120357493</v>
      </c>
    </row>
    <row r="23" spans="1:20" ht="24" customHeight="1">
      <c r="A23" s="9" t="s">
        <v>87</v>
      </c>
      <c r="C23" s="21">
        <v>14</v>
      </c>
      <c r="D23" s="70">
        <v>326689575</v>
      </c>
      <c r="F23" s="70">
        <v>337931815</v>
      </c>
      <c r="H23" s="54">
        <v>312931877</v>
      </c>
      <c r="J23" s="54">
        <v>324762189</v>
      </c>
    </row>
    <row r="24" spans="1:20" ht="24" customHeight="1">
      <c r="A24" s="9" t="s">
        <v>113</v>
      </c>
      <c r="C24" s="21">
        <v>23</v>
      </c>
      <c r="D24" s="70">
        <v>117524269</v>
      </c>
      <c r="F24" s="70">
        <v>171595613</v>
      </c>
      <c r="H24" s="54">
        <v>45709150</v>
      </c>
      <c r="J24" s="54">
        <v>78166681</v>
      </c>
    </row>
    <row r="25" spans="1:20" ht="24" customHeight="1">
      <c r="A25" s="9" t="s">
        <v>106</v>
      </c>
      <c r="C25" s="21">
        <v>15</v>
      </c>
      <c r="D25" s="70">
        <v>31136595058</v>
      </c>
      <c r="F25" s="70">
        <v>31860051536</v>
      </c>
      <c r="H25" s="54">
        <v>26559407503</v>
      </c>
      <c r="J25" s="54">
        <v>27123127708</v>
      </c>
      <c r="L25" s="121"/>
      <c r="N25" s="121"/>
      <c r="P25" s="121"/>
    </row>
    <row r="26" spans="1:20" ht="24" customHeight="1">
      <c r="A26" s="9" t="s">
        <v>103</v>
      </c>
      <c r="C26" s="21">
        <v>16</v>
      </c>
      <c r="D26" s="70">
        <v>45186801505</v>
      </c>
      <c r="F26" s="70">
        <v>45245877915</v>
      </c>
      <c r="H26" s="54">
        <v>44939459444</v>
      </c>
      <c r="J26" s="54">
        <v>44989376430</v>
      </c>
      <c r="L26" s="123"/>
      <c r="P26" s="123"/>
    </row>
    <row r="27" spans="1:20" ht="24" customHeight="1">
      <c r="A27" s="2" t="s">
        <v>101</v>
      </c>
      <c r="B27" s="2"/>
      <c r="C27" s="21">
        <v>17</v>
      </c>
      <c r="D27" s="71">
        <v>662239850</v>
      </c>
      <c r="F27" s="71">
        <v>656677998</v>
      </c>
      <c r="H27" s="71">
        <v>662239850</v>
      </c>
      <c r="J27" s="71">
        <v>656677998</v>
      </c>
    </row>
    <row r="28" spans="1:20" ht="24" customHeight="1">
      <c r="A28" s="2" t="s">
        <v>104</v>
      </c>
      <c r="B28" s="2"/>
      <c r="C28" s="21">
        <v>6</v>
      </c>
      <c r="D28" s="70">
        <v>15323690059</v>
      </c>
      <c r="F28" s="70">
        <v>12400550604</v>
      </c>
      <c r="H28" s="54">
        <v>15323690059</v>
      </c>
      <c r="J28" s="54">
        <v>12400550604</v>
      </c>
    </row>
    <row r="29" spans="1:20" ht="24" customHeight="1">
      <c r="A29" s="9" t="s">
        <v>100</v>
      </c>
      <c r="C29" s="21">
        <v>18</v>
      </c>
      <c r="D29" s="71">
        <v>25344485</v>
      </c>
      <c r="F29" s="71">
        <v>33948492</v>
      </c>
      <c r="H29" s="54">
        <v>25212488</v>
      </c>
      <c r="J29" s="54">
        <v>33431861</v>
      </c>
    </row>
    <row r="30" spans="1:20" ht="24" customHeight="1">
      <c r="A30" s="19" t="s">
        <v>81</v>
      </c>
      <c r="B30" s="19"/>
      <c r="C30" s="21">
        <v>32</v>
      </c>
      <c r="D30" s="71">
        <v>18780077</v>
      </c>
      <c r="F30" s="71">
        <v>19994793</v>
      </c>
      <c r="H30" s="54">
        <v>0</v>
      </c>
      <c r="J30" s="54">
        <v>0</v>
      </c>
      <c r="L30" s="121"/>
    </row>
    <row r="31" spans="1:20" ht="24" customHeight="1">
      <c r="A31" s="9" t="s">
        <v>79</v>
      </c>
      <c r="C31" s="21"/>
      <c r="D31" s="82">
        <v>36793163</v>
      </c>
      <c r="F31" s="82">
        <v>35143010</v>
      </c>
      <c r="H31" s="119">
        <v>16422224</v>
      </c>
      <c r="J31" s="119">
        <v>15192677</v>
      </c>
    </row>
    <row r="32" spans="1:20" ht="24" customHeight="1">
      <c r="A32" s="18" t="s">
        <v>14</v>
      </c>
      <c r="B32" s="18"/>
      <c r="C32" s="21"/>
      <c r="D32" s="54">
        <f>SUM(D18:D31)</f>
        <v>107248712513</v>
      </c>
      <c r="F32" s="54">
        <f>SUM(F18:F31)</f>
        <v>108562626267</v>
      </c>
      <c r="H32" s="54">
        <f>SUM(H18:H31)</f>
        <v>103745056834</v>
      </c>
      <c r="J32" s="54">
        <f>SUM(J18:J31)</f>
        <v>104489870506</v>
      </c>
    </row>
    <row r="33" spans="1:17" ht="24" customHeight="1" thickBot="1">
      <c r="A33" s="18" t="s">
        <v>15</v>
      </c>
      <c r="B33" s="18"/>
      <c r="D33" s="83">
        <f>SUM(D32,D16)</f>
        <v>112495873517</v>
      </c>
      <c r="F33" s="83">
        <f>SUM(F32,F16)</f>
        <v>114128187251</v>
      </c>
      <c r="H33" s="56">
        <f>SUM(H32,H16)</f>
        <v>108787081982</v>
      </c>
      <c r="J33" s="56">
        <f>SUM(J32,J16)</f>
        <v>109823308856</v>
      </c>
    </row>
    <row r="34" spans="1:17" ht="24" customHeight="1" thickTop="1">
      <c r="E34" s="72"/>
      <c r="F34" s="67"/>
      <c r="H34" s="67"/>
      <c r="I34" s="67"/>
      <c r="J34" s="67"/>
      <c r="K34" s="67"/>
    </row>
    <row r="35" spans="1:17" s="8" customFormat="1" ht="24" customHeight="1">
      <c r="A35" s="9" t="s">
        <v>16</v>
      </c>
      <c r="B35" s="9"/>
      <c r="C35" s="6"/>
      <c r="D35" s="7"/>
      <c r="E35" s="76"/>
      <c r="F35" s="7"/>
      <c r="H35" s="7"/>
      <c r="I35" s="7"/>
      <c r="J35" s="7"/>
      <c r="K35" s="7"/>
      <c r="L35"/>
      <c r="M35"/>
      <c r="N35"/>
      <c r="O35"/>
      <c r="P35"/>
      <c r="Q35"/>
    </row>
    <row r="36" spans="1:17" s="8" customFormat="1" ht="24" customHeight="1">
      <c r="A36" s="4" t="s">
        <v>85</v>
      </c>
      <c r="B36" s="4"/>
      <c r="C36" s="6"/>
      <c r="D36" s="7"/>
      <c r="E36" s="76"/>
      <c r="F36" s="7"/>
      <c r="G36" s="7"/>
      <c r="H36" s="7"/>
      <c r="I36" s="7"/>
      <c r="J36" s="7"/>
      <c r="K36" s="7"/>
      <c r="L36"/>
      <c r="M36"/>
      <c r="N36"/>
      <c r="O36"/>
      <c r="P36"/>
      <c r="Q36"/>
    </row>
    <row r="37" spans="1:17" s="8" customFormat="1" ht="24" customHeight="1">
      <c r="A37" s="25" t="s">
        <v>17</v>
      </c>
      <c r="B37" s="25"/>
      <c r="C37" s="6"/>
      <c r="D37" s="7"/>
      <c r="E37" s="76"/>
      <c r="F37" s="7"/>
      <c r="G37" s="7"/>
      <c r="H37" s="7"/>
      <c r="I37" s="7"/>
      <c r="J37" s="7"/>
      <c r="K37" s="5"/>
      <c r="L37"/>
      <c r="M37"/>
      <c r="N37"/>
      <c r="O37"/>
      <c r="P37"/>
      <c r="Q37"/>
    </row>
    <row r="38" spans="1:17" s="116" customFormat="1" ht="24" customHeight="1">
      <c r="A38" s="18" t="s">
        <v>128</v>
      </c>
      <c r="B38" s="18"/>
      <c r="C38" s="18"/>
      <c r="D38" s="18"/>
      <c r="E38" s="77"/>
      <c r="F38" s="18"/>
      <c r="G38" s="12"/>
      <c r="H38" s="18"/>
      <c r="I38" s="12"/>
      <c r="J38" s="18"/>
      <c r="K38" s="18"/>
      <c r="L38"/>
      <c r="M38"/>
      <c r="N38"/>
      <c r="O38"/>
      <c r="P38"/>
      <c r="Q38"/>
    </row>
    <row r="39" spans="1:17" s="116" customFormat="1" ht="24" customHeight="1">
      <c r="B39" s="9"/>
      <c r="C39" s="9"/>
      <c r="D39" s="9"/>
      <c r="E39" s="9"/>
      <c r="F39" s="9"/>
      <c r="G39" s="9"/>
      <c r="H39" s="9"/>
      <c r="I39" s="9"/>
      <c r="J39" s="100" t="s">
        <v>2</v>
      </c>
      <c r="K39" s="9"/>
      <c r="L39"/>
      <c r="M39"/>
      <c r="N39"/>
      <c r="O39"/>
      <c r="P39"/>
      <c r="Q39"/>
    </row>
    <row r="40" spans="1:17" ht="24" customHeight="1">
      <c r="D40" s="125" t="s">
        <v>3</v>
      </c>
      <c r="E40" s="125"/>
      <c r="F40" s="125"/>
      <c r="G40" s="12"/>
      <c r="H40" s="125" t="s">
        <v>4</v>
      </c>
      <c r="I40" s="125"/>
      <c r="J40" s="125"/>
      <c r="K40" s="12"/>
    </row>
    <row r="41" spans="1:17" ht="24" customHeight="1">
      <c r="C41" s="13" t="s">
        <v>5</v>
      </c>
      <c r="D41" s="78" t="s">
        <v>129</v>
      </c>
      <c r="F41" s="117" t="s">
        <v>125</v>
      </c>
      <c r="H41" s="78" t="s">
        <v>129</v>
      </c>
      <c r="J41" s="117" t="s">
        <v>125</v>
      </c>
    </row>
    <row r="42" spans="1:17" ht="24" customHeight="1">
      <c r="A42" s="18" t="s">
        <v>18</v>
      </c>
      <c r="B42" s="18"/>
      <c r="D42" s="79"/>
    </row>
    <row r="43" spans="1:17" ht="24" customHeight="1">
      <c r="A43" s="18" t="s">
        <v>19</v>
      </c>
      <c r="B43" s="18"/>
      <c r="D43" s="79"/>
    </row>
    <row r="44" spans="1:17" ht="24" customHeight="1">
      <c r="A44" s="115" t="s">
        <v>98</v>
      </c>
      <c r="B44" s="115"/>
      <c r="C44" s="21">
        <v>40.200000000000003</v>
      </c>
      <c r="D44" s="54">
        <v>1000000000</v>
      </c>
      <c r="F44" s="54">
        <v>0</v>
      </c>
      <c r="H44" s="54">
        <v>1000000000</v>
      </c>
      <c r="J44" s="54">
        <v>0</v>
      </c>
    </row>
    <row r="45" spans="1:17" ht="24" customHeight="1">
      <c r="A45" s="115" t="s">
        <v>71</v>
      </c>
      <c r="B45" s="115"/>
      <c r="C45" s="21">
        <v>19</v>
      </c>
      <c r="D45" s="54">
        <v>1614883617</v>
      </c>
      <c r="F45" s="54">
        <v>1762804876</v>
      </c>
      <c r="H45" s="54">
        <v>1563892661</v>
      </c>
      <c r="J45" s="54">
        <v>1703436123</v>
      </c>
    </row>
    <row r="46" spans="1:17" ht="24" customHeight="1">
      <c r="A46" s="2" t="s">
        <v>124</v>
      </c>
      <c r="B46" s="2"/>
      <c r="C46" s="21">
        <v>20</v>
      </c>
      <c r="D46" s="54">
        <v>4245844069</v>
      </c>
      <c r="F46" s="54">
        <v>4173244069</v>
      </c>
      <c r="H46" s="54">
        <v>3461764069</v>
      </c>
      <c r="J46" s="54">
        <v>3461764069</v>
      </c>
    </row>
    <row r="47" spans="1:17" ht="24" customHeight="1">
      <c r="A47" s="2" t="s">
        <v>114</v>
      </c>
      <c r="B47" s="2"/>
      <c r="C47" s="21">
        <v>23</v>
      </c>
      <c r="D47" s="54">
        <v>52765200</v>
      </c>
      <c r="F47" s="54">
        <v>67763943</v>
      </c>
      <c r="H47" s="54">
        <v>27963100</v>
      </c>
      <c r="J47" s="54">
        <v>44010119</v>
      </c>
    </row>
    <row r="48" spans="1:17" ht="24" customHeight="1">
      <c r="A48" s="2" t="s">
        <v>110</v>
      </c>
      <c r="B48" s="2"/>
      <c r="C48" s="21">
        <v>21</v>
      </c>
      <c r="D48" s="54">
        <v>8000000000</v>
      </c>
      <c r="F48" s="54">
        <v>5500000000</v>
      </c>
      <c r="H48" s="54">
        <v>8000000000</v>
      </c>
      <c r="J48" s="54">
        <v>5500000000</v>
      </c>
    </row>
    <row r="49" spans="1:13" ht="24" customHeight="1">
      <c r="A49" s="115" t="s">
        <v>90</v>
      </c>
      <c r="B49" s="115"/>
      <c r="C49" s="21">
        <v>8</v>
      </c>
      <c r="D49" s="54">
        <v>258974516</v>
      </c>
      <c r="F49" s="54">
        <v>243947482</v>
      </c>
      <c r="H49" s="54">
        <v>258974516</v>
      </c>
      <c r="J49" s="54">
        <v>243947482</v>
      </c>
    </row>
    <row r="50" spans="1:13" ht="24" customHeight="1">
      <c r="A50" s="115" t="s">
        <v>91</v>
      </c>
      <c r="B50" s="115"/>
      <c r="C50" s="21"/>
      <c r="D50" s="54">
        <v>102595947</v>
      </c>
      <c r="F50" s="54">
        <v>93486147</v>
      </c>
      <c r="H50" s="54">
        <v>102595947</v>
      </c>
      <c r="J50" s="54">
        <v>93486147</v>
      </c>
    </row>
    <row r="51" spans="1:13" ht="24" customHeight="1">
      <c r="A51" s="19" t="s">
        <v>20</v>
      </c>
      <c r="B51" s="19"/>
      <c r="C51" s="21"/>
      <c r="D51" s="54">
        <v>8103183</v>
      </c>
      <c r="F51" s="54">
        <v>11603425</v>
      </c>
      <c r="H51" s="54">
        <v>0</v>
      </c>
      <c r="J51" s="54">
        <v>0</v>
      </c>
    </row>
    <row r="52" spans="1:13" ht="24" customHeight="1">
      <c r="A52" s="19" t="s">
        <v>115</v>
      </c>
      <c r="B52" s="19"/>
      <c r="C52" s="21"/>
      <c r="D52" s="54">
        <v>113531303</v>
      </c>
      <c r="F52" s="54">
        <v>105052472</v>
      </c>
      <c r="H52" s="54">
        <v>109101066</v>
      </c>
      <c r="J52" s="54">
        <v>101692473</v>
      </c>
    </row>
    <row r="53" spans="1:13" ht="24" customHeight="1">
      <c r="A53" s="9" t="s">
        <v>21</v>
      </c>
      <c r="D53" s="54">
        <v>169483664</v>
      </c>
      <c r="F53" s="54">
        <v>133826661</v>
      </c>
      <c r="H53" s="54">
        <v>159938686</v>
      </c>
      <c r="J53" s="54">
        <v>125632597</v>
      </c>
    </row>
    <row r="54" spans="1:13" ht="24" customHeight="1">
      <c r="A54" s="18" t="s">
        <v>22</v>
      </c>
      <c r="B54" s="18"/>
      <c r="C54" s="21"/>
      <c r="D54" s="114">
        <f>SUM(D44:D53)</f>
        <v>15566181499</v>
      </c>
      <c r="F54" s="114">
        <f>SUM(F44:F53)</f>
        <v>12091729075</v>
      </c>
      <c r="H54" s="114">
        <f>SUM(H44:H53)</f>
        <v>14684230045</v>
      </c>
      <c r="J54" s="114">
        <f>SUM(J44:J53)</f>
        <v>11273969010</v>
      </c>
    </row>
    <row r="55" spans="1:13" ht="24" customHeight="1">
      <c r="A55" s="18" t="s">
        <v>23</v>
      </c>
      <c r="B55" s="18"/>
      <c r="C55" s="21"/>
      <c r="D55" s="84"/>
      <c r="F55" s="84"/>
      <c r="H55" s="66"/>
      <c r="J55" s="66"/>
    </row>
    <row r="56" spans="1:13" ht="24" customHeight="1">
      <c r="A56" s="2" t="s">
        <v>120</v>
      </c>
      <c r="B56" s="2"/>
      <c r="C56" s="21"/>
      <c r="D56" s="84"/>
      <c r="F56" s="84"/>
      <c r="H56" s="66"/>
      <c r="J56" s="66"/>
    </row>
    <row r="57" spans="1:13" ht="24" customHeight="1">
      <c r="A57" s="10" t="s">
        <v>121</v>
      </c>
      <c r="B57" s="10"/>
      <c r="C57" s="21">
        <v>20</v>
      </c>
      <c r="D57" s="54">
        <v>20499306627</v>
      </c>
      <c r="F57" s="54">
        <v>24709713605</v>
      </c>
      <c r="H57" s="54">
        <v>19657113245</v>
      </c>
      <c r="J57" s="54">
        <v>23072321974</v>
      </c>
    </row>
    <row r="58" spans="1:13" ht="24" customHeight="1">
      <c r="A58" s="2" t="s">
        <v>116</v>
      </c>
      <c r="B58" s="2"/>
      <c r="C58" s="21">
        <v>23</v>
      </c>
      <c r="D58" s="54">
        <v>64140816</v>
      </c>
      <c r="F58" s="54">
        <v>103375827</v>
      </c>
      <c r="H58" s="54">
        <v>18033339</v>
      </c>
      <c r="J58" s="54">
        <v>35034289</v>
      </c>
    </row>
    <row r="59" spans="1:13" ht="24" customHeight="1">
      <c r="A59" s="2" t="s">
        <v>111</v>
      </c>
      <c r="B59" s="2"/>
      <c r="C59" s="21">
        <v>21</v>
      </c>
      <c r="D59" s="54">
        <v>34557971302</v>
      </c>
      <c r="F59" s="54">
        <v>36058427918</v>
      </c>
      <c r="H59" s="54">
        <v>34557971302</v>
      </c>
      <c r="J59" s="54">
        <v>36058427918</v>
      </c>
    </row>
    <row r="60" spans="1:13" ht="24" customHeight="1">
      <c r="A60" s="9" t="s">
        <v>24</v>
      </c>
      <c r="C60" s="21">
        <v>24</v>
      </c>
      <c r="D60" s="54">
        <v>700902148</v>
      </c>
      <c r="F60" s="54">
        <v>838048488</v>
      </c>
      <c r="H60" s="54">
        <v>664854143</v>
      </c>
      <c r="J60" s="54">
        <v>806946344</v>
      </c>
    </row>
    <row r="61" spans="1:13" ht="24" customHeight="1">
      <c r="A61" s="9" t="s">
        <v>105</v>
      </c>
      <c r="C61" s="21">
        <v>32</v>
      </c>
      <c r="D61" s="54">
        <v>3435145718</v>
      </c>
      <c r="F61" s="54">
        <v>3051921707</v>
      </c>
      <c r="H61" s="54">
        <v>3435145718</v>
      </c>
      <c r="J61" s="54">
        <v>3051921707</v>
      </c>
      <c r="L61" s="121"/>
      <c r="M61" s="121"/>
    </row>
    <row r="62" spans="1:13" ht="24" customHeight="1">
      <c r="A62" s="9" t="s">
        <v>80</v>
      </c>
      <c r="C62" s="21"/>
      <c r="D62" s="73">
        <v>7904624</v>
      </c>
      <c r="F62" s="73">
        <v>11407818</v>
      </c>
      <c r="H62" s="68">
        <v>9677104</v>
      </c>
      <c r="J62" s="68">
        <v>15039633</v>
      </c>
    </row>
    <row r="63" spans="1:13" ht="24" customHeight="1">
      <c r="A63" s="18" t="s">
        <v>25</v>
      </c>
      <c r="B63" s="18"/>
      <c r="C63" s="21"/>
      <c r="D63" s="66">
        <f>SUM(D57:D62)</f>
        <v>59265371235</v>
      </c>
      <c r="F63" s="66">
        <f>SUM(F57:F62)</f>
        <v>64772895363</v>
      </c>
      <c r="H63" s="66">
        <f>SUM(H57:H62)</f>
        <v>58342794851</v>
      </c>
      <c r="J63" s="66">
        <f>SUM(J57:J62)</f>
        <v>63039691865</v>
      </c>
    </row>
    <row r="64" spans="1:13" ht="24" customHeight="1">
      <c r="A64" s="18" t="s">
        <v>26</v>
      </c>
      <c r="B64" s="18"/>
      <c r="D64" s="85">
        <f>SUM(D63,D54)</f>
        <v>74831552734</v>
      </c>
      <c r="F64" s="85">
        <f>SUM(F63,F54)</f>
        <v>76864624438</v>
      </c>
      <c r="H64" s="114">
        <f>SUM(H63,H54)</f>
        <v>73027024896</v>
      </c>
      <c r="J64" s="114">
        <f>SUM(J63,J54)</f>
        <v>74313660875</v>
      </c>
    </row>
    <row r="65" spans="1:17" ht="24" customHeight="1">
      <c r="A65" s="18"/>
      <c r="B65" s="18"/>
      <c r="E65" s="67"/>
      <c r="F65" s="67"/>
      <c r="G65" s="67"/>
      <c r="H65" s="67"/>
      <c r="I65" s="66"/>
      <c r="J65" s="67"/>
      <c r="K65" s="66"/>
    </row>
    <row r="66" spans="1:17" ht="24" customHeight="1">
      <c r="A66" s="9" t="s">
        <v>16</v>
      </c>
      <c r="I66" s="53"/>
      <c r="K66" s="53"/>
    </row>
    <row r="67" spans="1:17" s="8" customFormat="1" ht="24" customHeight="1">
      <c r="A67" s="4" t="s">
        <v>85</v>
      </c>
      <c r="B67" s="4"/>
      <c r="C67" s="6"/>
      <c r="D67" s="7"/>
      <c r="E67" s="76"/>
      <c r="F67" s="7"/>
      <c r="G67" s="7"/>
      <c r="H67" s="7"/>
      <c r="I67" s="7"/>
      <c r="J67" s="7"/>
      <c r="K67" s="7"/>
      <c r="L67"/>
      <c r="M67"/>
      <c r="N67"/>
      <c r="O67"/>
      <c r="P67"/>
      <c r="Q67"/>
    </row>
    <row r="68" spans="1:17" s="8" customFormat="1" ht="24" customHeight="1">
      <c r="A68" s="4" t="s">
        <v>17</v>
      </c>
      <c r="B68" s="4"/>
      <c r="C68" s="6"/>
      <c r="D68" s="7"/>
      <c r="E68" s="76"/>
      <c r="F68" s="7"/>
      <c r="G68" s="7"/>
      <c r="H68" s="7"/>
      <c r="I68" s="7"/>
      <c r="J68" s="7"/>
      <c r="K68" s="5"/>
      <c r="L68"/>
      <c r="M68"/>
      <c r="N68"/>
      <c r="O68"/>
      <c r="P68"/>
      <c r="Q68"/>
    </row>
    <row r="69" spans="1:17" s="116" customFormat="1" ht="24" customHeight="1">
      <c r="A69" s="18" t="s">
        <v>128</v>
      </c>
      <c r="B69" s="18"/>
      <c r="C69" s="18"/>
      <c r="D69" s="18"/>
      <c r="E69" s="77"/>
      <c r="F69" s="18"/>
      <c r="G69" s="12"/>
      <c r="H69" s="18"/>
      <c r="I69" s="12"/>
      <c r="J69" s="18"/>
      <c r="K69" s="18"/>
      <c r="L69"/>
      <c r="M69"/>
      <c r="N69"/>
      <c r="O69"/>
      <c r="P69"/>
      <c r="Q69"/>
    </row>
    <row r="70" spans="1:17" s="116" customFormat="1" ht="24" customHeight="1">
      <c r="B70" s="9"/>
      <c r="C70" s="9"/>
      <c r="D70" s="9"/>
      <c r="E70" s="9"/>
      <c r="F70" s="9"/>
      <c r="G70" s="9"/>
      <c r="H70" s="9"/>
      <c r="I70" s="9"/>
      <c r="J70" s="100" t="s">
        <v>2</v>
      </c>
      <c r="K70" s="9"/>
      <c r="L70"/>
      <c r="M70"/>
      <c r="N70"/>
      <c r="O70"/>
      <c r="P70"/>
      <c r="Q70"/>
    </row>
    <row r="71" spans="1:17" ht="24" customHeight="1">
      <c r="D71" s="125" t="s">
        <v>3</v>
      </c>
      <c r="E71" s="125"/>
      <c r="F71" s="125"/>
      <c r="G71" s="12"/>
      <c r="H71" s="125" t="s">
        <v>4</v>
      </c>
      <c r="I71" s="125"/>
      <c r="J71" s="125"/>
      <c r="K71" s="12"/>
    </row>
    <row r="72" spans="1:17" ht="24" customHeight="1">
      <c r="C72" s="13" t="s">
        <v>5</v>
      </c>
      <c r="D72" s="78" t="s">
        <v>129</v>
      </c>
      <c r="F72" s="117" t="s">
        <v>125</v>
      </c>
      <c r="H72" s="78" t="s">
        <v>129</v>
      </c>
      <c r="J72" s="117" t="s">
        <v>125</v>
      </c>
    </row>
    <row r="73" spans="1:17" ht="24" customHeight="1">
      <c r="A73" s="18" t="s">
        <v>27</v>
      </c>
      <c r="B73" s="18"/>
      <c r="D73" s="86"/>
      <c r="F73" s="47"/>
      <c r="H73" s="47"/>
      <c r="J73" s="47"/>
    </row>
    <row r="74" spans="1:17" ht="24" customHeight="1">
      <c r="A74" s="9" t="s">
        <v>28</v>
      </c>
      <c r="C74" s="21"/>
      <c r="D74" s="86"/>
      <c r="F74" s="47"/>
      <c r="H74" s="47"/>
      <c r="J74" s="47"/>
    </row>
    <row r="75" spans="1:17" ht="24" customHeight="1">
      <c r="A75" s="19" t="s">
        <v>29</v>
      </c>
      <c r="B75" s="19"/>
      <c r="C75" s="21"/>
      <c r="D75" s="86"/>
      <c r="F75" s="47"/>
      <c r="H75" s="47"/>
      <c r="J75" s="47"/>
    </row>
    <row r="76" spans="1:17" ht="24" customHeight="1" thickBot="1">
      <c r="A76" s="19" t="s">
        <v>97</v>
      </c>
      <c r="B76" s="19"/>
      <c r="C76" s="21"/>
      <c r="D76" s="87">
        <v>15285000000</v>
      </c>
      <c r="F76" s="87">
        <v>15285000000</v>
      </c>
      <c r="H76" s="87">
        <v>15285000000</v>
      </c>
      <c r="J76" s="87">
        <v>15285000000</v>
      </c>
    </row>
    <row r="77" spans="1:17" ht="24" customHeight="1" thickTop="1">
      <c r="A77" s="19" t="s">
        <v>92</v>
      </c>
      <c r="B77" s="19"/>
      <c r="C77" s="21"/>
      <c r="D77" s="70"/>
      <c r="F77" s="70"/>
      <c r="H77" s="70"/>
      <c r="J77" s="54"/>
    </row>
    <row r="78" spans="1:17" ht="24" customHeight="1">
      <c r="A78" s="19" t="s">
        <v>97</v>
      </c>
      <c r="B78" s="19"/>
      <c r="C78" s="21"/>
      <c r="D78" s="71" t="e">
        <f>SUM(#REF!)</f>
        <v>#REF!</v>
      </c>
      <c r="F78" s="71">
        <v>15285000000</v>
      </c>
      <c r="H78" s="71" t="e">
        <f>SUM(#REF!)</f>
        <v>#REF!</v>
      </c>
      <c r="J78" s="54">
        <v>15285000000</v>
      </c>
    </row>
    <row r="79" spans="1:17" ht="24" customHeight="1">
      <c r="A79" s="9" t="s">
        <v>93</v>
      </c>
      <c r="C79" s="21"/>
      <c r="D79" s="72" t="e">
        <f>SUM(#REF!)</f>
        <v>#REF!</v>
      </c>
      <c r="F79" s="72">
        <v>5816938084</v>
      </c>
      <c r="H79" s="72" t="e">
        <f>SUM(#REF!)</f>
        <v>#REF!</v>
      </c>
      <c r="J79" s="67">
        <v>5816938084</v>
      </c>
    </row>
    <row r="80" spans="1:17" ht="24" customHeight="1">
      <c r="A80" s="9" t="s">
        <v>108</v>
      </c>
      <c r="C80" s="21"/>
      <c r="D80" s="72" t="e">
        <f>SUM(#REF!)</f>
        <v>#REF!</v>
      </c>
      <c r="F80" s="72">
        <v>-346046294</v>
      </c>
      <c r="H80" s="67">
        <v>0</v>
      </c>
      <c r="J80" s="67">
        <v>0</v>
      </c>
    </row>
    <row r="81" spans="1:10" ht="24" customHeight="1">
      <c r="A81" s="19" t="s">
        <v>99</v>
      </c>
      <c r="B81" s="19"/>
      <c r="C81" s="21"/>
      <c r="D81" s="72"/>
      <c r="F81" s="72"/>
      <c r="H81" s="67"/>
      <c r="J81" s="67"/>
    </row>
    <row r="82" spans="1:10" ht="24" customHeight="1">
      <c r="A82" s="19" t="s">
        <v>82</v>
      </c>
      <c r="B82" s="19"/>
      <c r="C82" s="21">
        <v>25</v>
      </c>
      <c r="D82" s="72" t="e">
        <f>SUM(#REF!)</f>
        <v>#REF!</v>
      </c>
      <c r="F82" s="72">
        <v>1528500000</v>
      </c>
      <c r="H82" s="72" t="e">
        <f>SUM(#REF!)</f>
        <v>#REF!</v>
      </c>
      <c r="J82" s="67">
        <v>1528500000</v>
      </c>
    </row>
    <row r="83" spans="1:10" ht="24" customHeight="1">
      <c r="A83" s="19" t="s">
        <v>83</v>
      </c>
      <c r="B83" s="19"/>
      <c r="C83" s="21"/>
      <c r="D83" s="71" t="e">
        <f>SUM(#REF!)</f>
        <v>#REF!</v>
      </c>
      <c r="F83" s="71">
        <v>16451236957</v>
      </c>
      <c r="H83" s="54" t="e">
        <f>SUM(#REF!)</f>
        <v>#REF!</v>
      </c>
      <c r="J83" s="54">
        <v>8246983467</v>
      </c>
    </row>
    <row r="84" spans="1:10" ht="24" customHeight="1">
      <c r="A84" s="9" t="s">
        <v>84</v>
      </c>
      <c r="C84" s="21"/>
      <c r="D84" s="72" t="e">
        <f>SUM(#REF!)</f>
        <v>#REF!</v>
      </c>
      <c r="F84" s="72">
        <v>-1473687797</v>
      </c>
      <c r="H84" s="67" t="e">
        <f>SUM(#REF!)</f>
        <v>#REF!</v>
      </c>
      <c r="J84" s="67">
        <v>4632226430</v>
      </c>
    </row>
    <row r="85" spans="1:10" ht="24" customHeight="1">
      <c r="A85" s="19" t="s">
        <v>61</v>
      </c>
      <c r="B85" s="19"/>
      <c r="C85" s="21"/>
      <c r="D85" s="88" t="e">
        <f>SUM(D78:D84)</f>
        <v>#REF!</v>
      </c>
      <c r="F85" s="88">
        <f>SUM(F78:F84)</f>
        <v>37261940950</v>
      </c>
      <c r="H85" s="88" t="e">
        <f>SUM(H78:H84)</f>
        <v>#REF!</v>
      </c>
      <c r="J85" s="88">
        <f>SUM(J78:J84)</f>
        <v>35509647981</v>
      </c>
    </row>
    <row r="86" spans="1:10" ht="24" customHeight="1">
      <c r="A86" s="19" t="s">
        <v>30</v>
      </c>
      <c r="B86" s="19"/>
      <c r="C86" s="21"/>
      <c r="D86" s="75" t="e">
        <f>SUM(#REF!)</f>
        <v>#REF!</v>
      </c>
      <c r="F86" s="75">
        <v>1621863</v>
      </c>
      <c r="H86" s="55">
        <v>0</v>
      </c>
      <c r="J86" s="55">
        <v>0</v>
      </c>
    </row>
    <row r="87" spans="1:10" ht="24" customHeight="1">
      <c r="A87" s="25" t="s">
        <v>31</v>
      </c>
      <c r="B87" s="25"/>
      <c r="C87" s="21"/>
      <c r="D87" s="75" t="e">
        <f>SUM(D85:D86)</f>
        <v>#REF!</v>
      </c>
      <c r="F87" s="75">
        <f>SUM(F85:F86)</f>
        <v>37263562813</v>
      </c>
      <c r="H87" s="55" t="e">
        <f>SUM(H85:H86)</f>
        <v>#REF!</v>
      </c>
      <c r="J87" s="55">
        <f>SUM(J85:J86)</f>
        <v>35509647981</v>
      </c>
    </row>
    <row r="88" spans="1:10" ht="24" customHeight="1" thickBot="1">
      <c r="A88" s="18" t="s">
        <v>32</v>
      </c>
      <c r="B88" s="18"/>
      <c r="C88" s="21"/>
      <c r="D88" s="87" t="e">
        <f>SUM(D87,D64)</f>
        <v>#REF!</v>
      </c>
      <c r="F88" s="87">
        <f>SUM(F87,F64)</f>
        <v>114128187251</v>
      </c>
      <c r="H88" s="87" t="e">
        <f>SUM(H87,H64)</f>
        <v>#REF!</v>
      </c>
      <c r="J88" s="87">
        <f>SUM(J87,J64)</f>
        <v>109823308856</v>
      </c>
    </row>
    <row r="89" spans="1:10" ht="24" customHeight="1" thickTop="1">
      <c r="C89" s="21"/>
      <c r="D89" s="111"/>
      <c r="F89" s="111"/>
      <c r="H89" s="111"/>
      <c r="J89" s="111"/>
    </row>
    <row r="90" spans="1:10" ht="24" customHeight="1">
      <c r="A90" s="9" t="s">
        <v>16</v>
      </c>
      <c r="D90" s="89"/>
      <c r="F90" s="89"/>
      <c r="H90" s="47"/>
      <c r="J90" s="54"/>
    </row>
    <row r="91" spans="1:10" ht="24" customHeight="1">
      <c r="C91" s="17"/>
      <c r="D91" s="90"/>
      <c r="F91" s="47"/>
      <c r="H91" s="47"/>
    </row>
    <row r="92" spans="1:10" ht="24" customHeight="1">
      <c r="A92" s="120"/>
      <c r="C92" s="17"/>
      <c r="D92" s="79"/>
      <c r="G92" s="47"/>
      <c r="I92" s="47"/>
    </row>
    <row r="93" spans="1:10" ht="24" customHeight="1">
      <c r="D93" s="79"/>
    </row>
    <row r="94" spans="1:10" ht="24" customHeight="1">
      <c r="B94" s="19" t="s">
        <v>33</v>
      </c>
      <c r="D94" s="79"/>
    </row>
    <row r="95" spans="1:10" ht="24" customHeight="1">
      <c r="A95" s="120"/>
      <c r="D95" s="79"/>
    </row>
    <row r="97" spans="1:11" ht="24" customHeight="1">
      <c r="A97" s="10"/>
      <c r="B97" s="10"/>
      <c r="C97" s="10"/>
    </row>
    <row r="98" spans="1:11" ht="24" customHeight="1">
      <c r="A98" s="10"/>
      <c r="B98" s="10"/>
      <c r="C98" s="10"/>
      <c r="F98" s="79"/>
      <c r="G98" s="79"/>
      <c r="H98" s="79"/>
      <c r="I98" s="79"/>
      <c r="J98" s="79"/>
      <c r="K98" s="90"/>
    </row>
    <row r="99" spans="1:11" ht="24" customHeight="1">
      <c r="A99" s="10"/>
      <c r="B99" s="10"/>
      <c r="C99" s="10"/>
    </row>
    <row r="100" spans="1:11" ht="24" customHeight="1">
      <c r="A100" s="10"/>
      <c r="B100" s="10"/>
      <c r="C100" s="10"/>
    </row>
    <row r="101" spans="1:11" ht="24" customHeight="1">
      <c r="A101" s="10"/>
      <c r="B101" s="10"/>
      <c r="C101" s="10"/>
    </row>
    <row r="102" spans="1:11" ht="24" customHeight="1">
      <c r="A102" s="10"/>
      <c r="B102" s="10"/>
      <c r="C102" s="10"/>
    </row>
    <row r="103" spans="1:11" ht="24" customHeight="1">
      <c r="A103" s="10"/>
      <c r="B103" s="10"/>
      <c r="C103" s="10"/>
    </row>
    <row r="104" spans="1:11" ht="24" customHeight="1">
      <c r="A104" s="10"/>
      <c r="B104" s="10"/>
      <c r="C104" s="10"/>
    </row>
    <row r="105" spans="1:11" ht="24" customHeight="1">
      <c r="A105" s="10"/>
      <c r="B105" s="10"/>
      <c r="C105" s="10"/>
    </row>
    <row r="106" spans="1:11" ht="24" customHeight="1">
      <c r="A106" s="10"/>
      <c r="B106" s="10"/>
      <c r="C106" s="10"/>
    </row>
    <row r="107" spans="1:11" ht="24" customHeight="1">
      <c r="A107" s="10"/>
      <c r="B107" s="10"/>
      <c r="C107" s="10"/>
    </row>
    <row r="108" spans="1:11" ht="24" customHeight="1">
      <c r="A108" s="10"/>
      <c r="B108" s="10"/>
      <c r="C108" s="10"/>
    </row>
    <row r="109" spans="1:11" ht="24" customHeight="1">
      <c r="A109" s="10"/>
      <c r="B109" s="10"/>
      <c r="C109" s="10"/>
    </row>
    <row r="110" spans="1:11" ht="24" customHeight="1">
      <c r="A110" s="10"/>
      <c r="B110" s="10"/>
      <c r="C110" s="10"/>
    </row>
    <row r="111" spans="1:11" ht="24" customHeight="1">
      <c r="A111" s="10"/>
      <c r="B111" s="10"/>
      <c r="C111" s="10"/>
    </row>
    <row r="112" spans="1:11" ht="24" customHeight="1">
      <c r="A112" s="10"/>
      <c r="B112" s="10"/>
      <c r="C112" s="10"/>
    </row>
    <row r="113" spans="1:3" ht="24" customHeight="1">
      <c r="A113" s="10"/>
      <c r="B113" s="10"/>
      <c r="C113" s="10"/>
    </row>
    <row r="114" spans="1:3" ht="24" customHeight="1">
      <c r="A114" s="10"/>
      <c r="B114" s="10"/>
      <c r="C114" s="10"/>
    </row>
    <row r="115" spans="1:3" ht="24" customHeight="1">
      <c r="A115" s="10"/>
      <c r="B115" s="10"/>
      <c r="C115" s="10"/>
    </row>
    <row r="116" spans="1:3" ht="24" customHeight="1">
      <c r="A116" s="10"/>
      <c r="B116" s="10"/>
      <c r="C116" s="10"/>
    </row>
    <row r="117" spans="1:3" ht="24" customHeight="1">
      <c r="A117" s="10"/>
      <c r="B117" s="10"/>
      <c r="C117" s="10"/>
    </row>
    <row r="118" spans="1:3" ht="24" customHeight="1">
      <c r="A118" s="10"/>
      <c r="B118" s="10"/>
      <c r="C118" s="10"/>
    </row>
    <row r="119" spans="1:3" ht="24" customHeight="1">
      <c r="A119" s="10"/>
      <c r="B119" s="10"/>
      <c r="C119" s="10"/>
    </row>
    <row r="120" spans="1:3" ht="24" customHeight="1">
      <c r="A120" s="10"/>
      <c r="B120" s="10"/>
      <c r="C120" s="10"/>
    </row>
    <row r="121" spans="1:3" ht="24" customHeight="1">
      <c r="A121" s="10"/>
      <c r="B121" s="10"/>
      <c r="C121" s="10"/>
    </row>
    <row r="122" spans="1:3" ht="24" customHeight="1">
      <c r="A122" s="10"/>
      <c r="B122" s="10"/>
      <c r="C122" s="10"/>
    </row>
    <row r="123" spans="1:3" ht="24" customHeight="1">
      <c r="A123" s="10"/>
      <c r="B123" s="10"/>
      <c r="C123" s="10"/>
    </row>
    <row r="124" spans="1:3" ht="24" customHeight="1">
      <c r="A124" s="10"/>
      <c r="B124" s="10"/>
      <c r="C124" s="10"/>
    </row>
    <row r="125" spans="1:3" ht="24" customHeight="1">
      <c r="A125" s="10"/>
      <c r="B125" s="10"/>
      <c r="C125" s="10"/>
    </row>
    <row r="126" spans="1:3" ht="24" customHeight="1">
      <c r="A126" s="10"/>
      <c r="B126" s="10"/>
      <c r="C126" s="10"/>
    </row>
    <row r="127" spans="1:3" ht="24" customHeight="1">
      <c r="A127" s="10"/>
      <c r="B127" s="10"/>
      <c r="C127" s="10"/>
    </row>
    <row r="128" spans="1:3" ht="24" customHeight="1">
      <c r="A128" s="10"/>
      <c r="B128" s="10"/>
      <c r="C128" s="10"/>
    </row>
    <row r="129" spans="1:3" ht="24" customHeight="1">
      <c r="A129" s="10"/>
      <c r="B129" s="10"/>
      <c r="C129" s="10"/>
    </row>
    <row r="130" spans="1:3" ht="24" customHeight="1">
      <c r="A130" s="10"/>
      <c r="B130" s="10"/>
      <c r="C130" s="10"/>
    </row>
    <row r="131" spans="1:3" ht="24" customHeight="1">
      <c r="A131" s="10"/>
      <c r="B131" s="10"/>
      <c r="C131" s="10"/>
    </row>
    <row r="132" spans="1:3" ht="24" customHeight="1">
      <c r="A132" s="10"/>
      <c r="B132" s="10"/>
      <c r="C132" s="10"/>
    </row>
    <row r="133" spans="1:3" ht="24" customHeight="1">
      <c r="A133" s="10"/>
      <c r="B133" s="10"/>
      <c r="C133" s="10"/>
    </row>
    <row r="134" spans="1:3" ht="24" customHeight="1">
      <c r="A134" s="10"/>
      <c r="B134" s="10"/>
      <c r="C134" s="10"/>
    </row>
    <row r="135" spans="1:3" ht="24" customHeight="1">
      <c r="A135" s="10"/>
      <c r="B135" s="10"/>
      <c r="C135" s="10"/>
    </row>
    <row r="136" spans="1:3" ht="24" customHeight="1">
      <c r="A136" s="10"/>
      <c r="B136" s="10"/>
      <c r="C136" s="10"/>
    </row>
    <row r="137" spans="1:3" ht="24" customHeight="1">
      <c r="A137" s="10"/>
      <c r="B137" s="10"/>
      <c r="C137" s="10"/>
    </row>
    <row r="138" spans="1:3" ht="24" customHeight="1">
      <c r="A138" s="10"/>
      <c r="B138" s="10"/>
      <c r="C138" s="10"/>
    </row>
    <row r="139" spans="1:3" ht="24" customHeight="1">
      <c r="A139" s="10"/>
      <c r="B139" s="10"/>
      <c r="C139" s="10"/>
    </row>
    <row r="140" spans="1:3" ht="24" customHeight="1">
      <c r="A140" s="10"/>
      <c r="B140" s="10"/>
      <c r="C140" s="10"/>
    </row>
    <row r="141" spans="1:3" ht="24" customHeight="1">
      <c r="A141" s="10"/>
      <c r="B141" s="10"/>
      <c r="C141" s="10"/>
    </row>
    <row r="142" spans="1:3" ht="24" customHeight="1">
      <c r="A142" s="10"/>
      <c r="B142" s="10"/>
      <c r="C142" s="10"/>
    </row>
    <row r="143" spans="1:3" ht="24" customHeight="1">
      <c r="A143" s="10"/>
      <c r="B143" s="10"/>
      <c r="C143" s="10"/>
    </row>
    <row r="144" spans="1:3" ht="24" customHeight="1">
      <c r="A144" s="10"/>
      <c r="B144" s="10"/>
      <c r="C144" s="10"/>
    </row>
    <row r="145" spans="1:3" ht="24" customHeight="1">
      <c r="A145" s="10"/>
      <c r="B145" s="10"/>
      <c r="C145" s="10"/>
    </row>
    <row r="146" spans="1:3" ht="24" customHeight="1">
      <c r="A146" s="10"/>
      <c r="B146" s="10"/>
      <c r="C146" s="10"/>
    </row>
    <row r="147" spans="1:3" ht="24" customHeight="1">
      <c r="A147" s="10"/>
      <c r="B147" s="10"/>
      <c r="C147" s="10"/>
    </row>
    <row r="148" spans="1:3" ht="24" customHeight="1">
      <c r="A148" s="10"/>
      <c r="B148" s="10"/>
      <c r="C148" s="10"/>
    </row>
    <row r="149" spans="1:3" ht="24" customHeight="1">
      <c r="A149" s="10"/>
      <c r="B149" s="10"/>
      <c r="C149" s="10"/>
    </row>
    <row r="150" spans="1:3" ht="24" customHeight="1">
      <c r="A150" s="10"/>
      <c r="B150" s="10"/>
      <c r="C150" s="10"/>
    </row>
    <row r="151" spans="1:3" ht="24" customHeight="1">
      <c r="A151" s="10"/>
      <c r="B151" s="10"/>
      <c r="C151" s="10"/>
    </row>
  </sheetData>
  <mergeCells count="8">
    <mergeCell ref="T1:U1"/>
    <mergeCell ref="T12:U12"/>
    <mergeCell ref="D71:F71"/>
    <mergeCell ref="H5:J5"/>
    <mergeCell ref="H40:J40"/>
    <mergeCell ref="H71:J71"/>
    <mergeCell ref="D5:F5"/>
    <mergeCell ref="D40:F40"/>
  </mergeCells>
  <printOptions horizontalCentered="1"/>
  <pageMargins left="0.64" right="0.3" top="0.78740157480314998" bottom="0.39370078740157499" header="0.196850393700787" footer="0.196850393700787"/>
  <pageSetup paperSize="9" scale="67" fitToHeight="7" orientation="portrait" r:id="rId1"/>
  <headerFooter scaleWithDoc="0" alignWithMargins="0"/>
  <rowBreaks count="2" manualBreakCount="2">
    <brk id="35" max="16383" man="1"/>
    <brk id="66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10"/>
  <sheetViews>
    <sheetView showGridLines="0" tabSelected="1" view="pageBreakPreview" topLeftCell="A46" zoomScaleNormal="73" zoomScaleSheetLayoutView="100" workbookViewId="0"/>
  </sheetViews>
  <sheetFormatPr defaultColWidth="10.5703125" defaultRowHeight="24" customHeight="1"/>
  <cols>
    <col min="1" max="1" width="58.7109375" style="9" customWidth="1"/>
    <col min="2" max="2" width="3.140625" style="10" customWidth="1"/>
    <col min="3" max="3" width="8.28515625" style="91" customWidth="1"/>
    <col min="4" max="4" width="1.42578125" style="10" customWidth="1"/>
    <col min="5" max="5" width="15.7109375" style="10" customWidth="1"/>
    <col min="6" max="6" width="1.42578125" style="10" customWidth="1"/>
    <col min="7" max="7" width="15.7109375" style="10" customWidth="1"/>
    <col min="8" max="8" width="1.42578125" style="10" customWidth="1"/>
    <col min="9" max="9" width="15.7109375" style="10" customWidth="1"/>
    <col min="10" max="10" width="1.42578125" style="10" customWidth="1"/>
    <col min="11" max="11" width="15.7109375" style="10" customWidth="1"/>
    <col min="12" max="12" width="1.42578125" style="10" customWidth="1"/>
    <col min="13" max="14" width="18.7109375" bestFit="1" customWidth="1"/>
    <col min="15" max="15" width="11.5703125" bestFit="1" customWidth="1"/>
    <col min="16" max="16" width="15.7109375" bestFit="1" customWidth="1"/>
    <col min="17" max="17" width="10.5703125" style="10" customWidth="1"/>
    <col min="18" max="16384" width="10.5703125" style="10"/>
  </cols>
  <sheetData>
    <row r="1" spans="1:16" s="8" customFormat="1" ht="24" customHeight="1">
      <c r="A1" s="4" t="s">
        <v>85</v>
      </c>
      <c r="B1" s="5"/>
      <c r="C1" s="91"/>
      <c r="D1" s="7"/>
      <c r="E1" s="7"/>
      <c r="F1" s="7"/>
      <c r="G1" s="7"/>
      <c r="H1" s="7"/>
      <c r="I1" s="7"/>
      <c r="J1" s="7"/>
      <c r="K1" s="7"/>
      <c r="M1"/>
      <c r="N1"/>
      <c r="O1"/>
      <c r="P1"/>
    </row>
    <row r="2" spans="1:16" s="8" customFormat="1" ht="24" customHeight="1">
      <c r="A2" s="4" t="s">
        <v>94</v>
      </c>
      <c r="B2" s="5"/>
      <c r="C2" s="91"/>
      <c r="D2" s="7"/>
      <c r="E2" s="7"/>
      <c r="F2" s="7"/>
      <c r="G2" s="7"/>
      <c r="H2" s="7"/>
      <c r="I2" s="7"/>
      <c r="J2" s="7"/>
      <c r="K2" s="7"/>
      <c r="M2"/>
      <c r="N2"/>
      <c r="O2"/>
      <c r="P2"/>
    </row>
    <row r="3" spans="1:16" s="8" customFormat="1" ht="24" customHeight="1">
      <c r="A3" s="4" t="s">
        <v>130</v>
      </c>
      <c r="B3" s="5"/>
      <c r="C3" s="91"/>
      <c r="D3" s="7"/>
      <c r="E3" s="7"/>
      <c r="F3" s="7"/>
      <c r="G3" s="7"/>
      <c r="H3" s="7"/>
      <c r="I3" s="7"/>
      <c r="J3" s="7"/>
      <c r="K3" s="7"/>
      <c r="M3"/>
      <c r="N3"/>
      <c r="O3"/>
      <c r="P3"/>
    </row>
    <row r="4" spans="1:16" s="8" customFormat="1" ht="24" customHeight="1">
      <c r="B4" s="5"/>
      <c r="C4" s="91"/>
      <c r="D4" s="7"/>
      <c r="E4" s="7"/>
      <c r="F4" s="7"/>
      <c r="G4" s="7"/>
      <c r="H4" s="7"/>
      <c r="I4" s="7"/>
      <c r="J4" s="7"/>
      <c r="K4" s="3" t="s">
        <v>2</v>
      </c>
      <c r="M4"/>
      <c r="N4"/>
      <c r="O4"/>
      <c r="P4"/>
    </row>
    <row r="5" spans="1:16" ht="24" customHeight="1">
      <c r="E5" s="126" t="s">
        <v>3</v>
      </c>
      <c r="F5" s="126"/>
      <c r="G5" s="126"/>
      <c r="H5" s="92"/>
      <c r="I5" s="126" t="s">
        <v>4</v>
      </c>
      <c r="J5" s="126"/>
      <c r="K5" s="126"/>
    </row>
    <row r="6" spans="1:16" ht="24" customHeight="1">
      <c r="C6" s="13" t="s">
        <v>5</v>
      </c>
      <c r="E6" s="74">
        <v>2566</v>
      </c>
      <c r="F6" s="93"/>
      <c r="G6" s="74">
        <v>2565</v>
      </c>
      <c r="H6" s="94"/>
      <c r="I6" s="74">
        <v>2566</v>
      </c>
      <c r="J6" s="95"/>
      <c r="K6" s="74">
        <v>2565</v>
      </c>
    </row>
    <row r="7" spans="1:16" ht="24" customHeight="1">
      <c r="A7" s="2" t="s">
        <v>131</v>
      </c>
      <c r="B7" s="20"/>
      <c r="C7" s="21"/>
      <c r="E7" s="38">
        <v>16374409631</v>
      </c>
      <c r="F7" s="54"/>
      <c r="G7" s="38">
        <v>14029439224</v>
      </c>
      <c r="H7" s="54"/>
      <c r="I7" s="38">
        <v>14970823003</v>
      </c>
      <c r="J7" s="54"/>
      <c r="K7" s="38">
        <v>12736398008</v>
      </c>
    </row>
    <row r="8" spans="1:16" ht="24" customHeight="1">
      <c r="A8" s="2" t="s">
        <v>132</v>
      </c>
      <c r="B8" s="20"/>
      <c r="C8" s="21"/>
      <c r="E8" s="38">
        <v>-9310857732</v>
      </c>
      <c r="F8" s="54"/>
      <c r="G8" s="38">
        <v>-8447064226</v>
      </c>
      <c r="H8" s="54"/>
      <c r="I8" s="38">
        <v>-8755347992</v>
      </c>
      <c r="J8" s="54"/>
      <c r="K8" s="38">
        <v>-7967958200</v>
      </c>
    </row>
    <row r="9" spans="1:16" ht="24" customHeight="1">
      <c r="A9" s="108" t="s">
        <v>133</v>
      </c>
      <c r="B9" s="20"/>
      <c r="C9" s="21"/>
      <c r="E9" s="109">
        <f>SUM(E7:E8)</f>
        <v>7063551899</v>
      </c>
      <c r="F9" s="54"/>
      <c r="G9" s="109">
        <f>SUM(G7:G8)</f>
        <v>5582374998</v>
      </c>
      <c r="H9" s="54"/>
      <c r="I9" s="109">
        <f>SUM(I7:I8)</f>
        <v>6215475011</v>
      </c>
      <c r="J9" s="54"/>
      <c r="K9" s="109">
        <f>SUM(K7:K8)</f>
        <v>4768439808</v>
      </c>
    </row>
    <row r="10" spans="1:16" ht="24" customHeight="1">
      <c r="A10" s="19" t="s">
        <v>36</v>
      </c>
      <c r="B10" s="20"/>
      <c r="C10" s="21"/>
      <c r="E10" s="38">
        <v>764305986</v>
      </c>
      <c r="F10" s="54"/>
      <c r="G10" s="38">
        <v>772034759</v>
      </c>
      <c r="H10" s="54"/>
      <c r="I10" s="38">
        <v>1462959882</v>
      </c>
      <c r="J10" s="54"/>
      <c r="K10" s="38">
        <v>1536427628</v>
      </c>
    </row>
    <row r="11" spans="1:16" ht="24" customHeight="1">
      <c r="A11" s="25" t="s">
        <v>134</v>
      </c>
      <c r="B11" s="20"/>
      <c r="C11" s="21"/>
      <c r="E11" s="109">
        <f>SUM(E9:E10)</f>
        <v>7827857885</v>
      </c>
      <c r="F11" s="54"/>
      <c r="G11" s="109">
        <f>SUM(G9:G10)</f>
        <v>6354409757</v>
      </c>
      <c r="H11" s="54"/>
      <c r="I11" s="109">
        <f>SUM(I9:I10)</f>
        <v>7678434893</v>
      </c>
      <c r="J11" s="54"/>
      <c r="K11" s="109">
        <f>SUM(K9:K10)</f>
        <v>6304867436</v>
      </c>
    </row>
    <row r="12" spans="1:16" ht="24" customHeight="1">
      <c r="A12" s="19" t="s">
        <v>40</v>
      </c>
      <c r="B12" s="20"/>
      <c r="C12" s="21"/>
      <c r="E12" s="54">
        <v>-196542242</v>
      </c>
      <c r="F12" s="54"/>
      <c r="G12" s="54">
        <v>-126823156</v>
      </c>
      <c r="H12" s="54"/>
      <c r="I12" s="54">
        <v>-93091142</v>
      </c>
      <c r="J12" s="54"/>
      <c r="K12" s="54">
        <v>-63206281</v>
      </c>
      <c r="M12" s="121"/>
      <c r="N12" s="121"/>
    </row>
    <row r="13" spans="1:16" ht="24" customHeight="1">
      <c r="A13" s="19" t="s">
        <v>41</v>
      </c>
      <c r="B13" s="20"/>
      <c r="C13" s="21"/>
      <c r="E13" s="38">
        <v>-1044724036</v>
      </c>
      <c r="F13" s="54"/>
      <c r="G13" s="38">
        <v>-1032991990</v>
      </c>
      <c r="H13" s="54"/>
      <c r="I13" s="54">
        <v>-1240055299</v>
      </c>
      <c r="J13" s="54"/>
      <c r="K13" s="54">
        <v>-1285119860</v>
      </c>
      <c r="M13" s="122"/>
      <c r="N13" s="122"/>
      <c r="O13" s="122"/>
      <c r="P13" s="122"/>
    </row>
    <row r="14" spans="1:16" ht="24" customHeight="1">
      <c r="A14" s="25" t="s">
        <v>122</v>
      </c>
      <c r="B14" s="8"/>
      <c r="E14" s="110">
        <f>SUM(E11:E13)</f>
        <v>6586591607</v>
      </c>
      <c r="F14" s="54"/>
      <c r="G14" s="110">
        <f>SUM(G11:G13)</f>
        <v>5194594611</v>
      </c>
      <c r="H14" s="54"/>
      <c r="I14" s="110">
        <f>SUM(I11:I13)</f>
        <v>6345288452</v>
      </c>
      <c r="J14" s="54"/>
      <c r="K14" s="110">
        <f>SUM(K11:K13)</f>
        <v>4956541295</v>
      </c>
      <c r="M14" s="122"/>
      <c r="N14" s="122"/>
      <c r="O14" s="122"/>
      <c r="P14" s="122"/>
    </row>
    <row r="15" spans="1:16" ht="24" customHeight="1">
      <c r="A15" s="19" t="s">
        <v>117</v>
      </c>
      <c r="B15" s="8"/>
      <c r="C15" s="21">
        <v>30</v>
      </c>
      <c r="E15" s="55">
        <v>-2371020831</v>
      </c>
      <c r="F15" s="54"/>
      <c r="G15" s="55">
        <v>-2360679969</v>
      </c>
      <c r="H15" s="54"/>
      <c r="I15" s="55">
        <v>-2319652284</v>
      </c>
      <c r="J15" s="54"/>
      <c r="K15" s="55">
        <v>-2276594977</v>
      </c>
      <c r="M15" s="122"/>
      <c r="N15" s="122"/>
      <c r="O15" s="122"/>
      <c r="P15" s="122"/>
    </row>
    <row r="16" spans="1:16" ht="24" customHeight="1">
      <c r="A16" s="25" t="s">
        <v>127</v>
      </c>
      <c r="B16" s="8"/>
      <c r="E16" s="54">
        <f>SUM(E14:E15)</f>
        <v>4215570776</v>
      </c>
      <c r="F16" s="54"/>
      <c r="G16" s="54">
        <f>SUM(G14:G15)</f>
        <v>2833914642</v>
      </c>
      <c r="H16" s="54"/>
      <c r="I16" s="54">
        <f>SUM(I14:I15)</f>
        <v>4025636168</v>
      </c>
      <c r="J16" s="54"/>
      <c r="K16" s="54">
        <f>SUM(K14:K15)</f>
        <v>2679946318</v>
      </c>
    </row>
    <row r="17" spans="1:16" ht="24" customHeight="1">
      <c r="A17" s="19" t="s">
        <v>74</v>
      </c>
      <c r="B17" s="8"/>
      <c r="C17" s="21">
        <v>32</v>
      </c>
      <c r="E17" s="41">
        <v>-736864569</v>
      </c>
      <c r="F17" s="54"/>
      <c r="G17" s="41">
        <v>-397658573</v>
      </c>
      <c r="H17" s="54"/>
      <c r="I17" s="41">
        <v>-697278826</v>
      </c>
      <c r="J17" s="54"/>
      <c r="K17" s="41">
        <v>-366507052</v>
      </c>
    </row>
    <row r="18" spans="1:16" ht="24" customHeight="1" thickBot="1">
      <c r="A18" s="18" t="s">
        <v>89</v>
      </c>
      <c r="E18" s="56">
        <f>SUM(E16:E17)</f>
        <v>3478706207</v>
      </c>
      <c r="F18" s="54"/>
      <c r="G18" s="56">
        <f>SUM(G16:G17)</f>
        <v>2436256069</v>
      </c>
      <c r="H18" s="54"/>
      <c r="I18" s="56">
        <f>SUM(I16:I17)</f>
        <v>3328357342</v>
      </c>
      <c r="J18" s="54"/>
      <c r="K18" s="56">
        <f>SUM(K16:K17)</f>
        <v>2313439266</v>
      </c>
      <c r="M18" s="122"/>
      <c r="N18" s="122"/>
    </row>
    <row r="19" spans="1:16" ht="24" customHeight="1" thickTop="1">
      <c r="A19" s="18"/>
      <c r="E19" s="54"/>
      <c r="F19" s="54"/>
      <c r="G19" s="54"/>
      <c r="H19" s="54"/>
      <c r="I19" s="54"/>
      <c r="J19" s="54"/>
      <c r="K19" s="54"/>
    </row>
    <row r="20" spans="1:16" s="2" customFormat="1" ht="24" customHeight="1">
      <c r="A20" s="96" t="s">
        <v>49</v>
      </c>
      <c r="C20" s="97"/>
      <c r="D20" s="98"/>
      <c r="E20" s="99"/>
      <c r="F20" s="100"/>
      <c r="G20" s="99"/>
      <c r="H20" s="67"/>
      <c r="I20" s="54"/>
      <c r="J20" s="67"/>
      <c r="K20" s="54"/>
      <c r="M20"/>
      <c r="N20"/>
      <c r="O20"/>
      <c r="P20"/>
    </row>
    <row r="21" spans="1:16" s="2" customFormat="1" ht="24" customHeight="1" thickBot="1">
      <c r="A21" s="9" t="s">
        <v>62</v>
      </c>
      <c r="C21" s="97"/>
      <c r="D21" s="98"/>
      <c r="E21" s="38">
        <f>E23-E22</f>
        <v>3478651514</v>
      </c>
      <c r="F21" s="67"/>
      <c r="G21" s="38">
        <f>G23-G22</f>
        <v>2436184543</v>
      </c>
      <c r="H21" s="67"/>
      <c r="I21" s="112">
        <f>SUM(I18)</f>
        <v>3328357342</v>
      </c>
      <c r="J21" s="67"/>
      <c r="K21" s="112">
        <f>SUM(K18)</f>
        <v>2313439266</v>
      </c>
      <c r="M21"/>
      <c r="N21"/>
      <c r="O21"/>
      <c r="P21"/>
    </row>
    <row r="22" spans="1:16" s="2" customFormat="1" ht="24" customHeight="1" thickTop="1">
      <c r="A22" s="9" t="s">
        <v>50</v>
      </c>
      <c r="C22" s="97"/>
      <c r="D22" s="98"/>
      <c r="E22" s="54">
        <v>54693</v>
      </c>
      <c r="F22" s="67"/>
      <c r="G22" s="54">
        <v>71526</v>
      </c>
      <c r="H22" s="67"/>
      <c r="I22" s="54"/>
      <c r="J22" s="67"/>
      <c r="K22" s="54"/>
      <c r="M22"/>
      <c r="N22"/>
      <c r="O22"/>
      <c r="P22"/>
    </row>
    <row r="23" spans="1:16" s="2" customFormat="1" ht="24" customHeight="1" thickBot="1">
      <c r="A23" s="101"/>
      <c r="C23" s="97"/>
      <c r="D23" s="98"/>
      <c r="E23" s="102">
        <f>E18</f>
        <v>3478706207</v>
      </c>
      <c r="F23" s="66"/>
      <c r="G23" s="102">
        <f>G18</f>
        <v>2436256069</v>
      </c>
      <c r="H23" s="66"/>
      <c r="I23" s="66"/>
      <c r="J23" s="66"/>
      <c r="K23" s="66"/>
      <c r="M23"/>
      <c r="N23"/>
      <c r="O23"/>
      <c r="P23"/>
    </row>
    <row r="24" spans="1:16" ht="24" customHeight="1" thickTop="1">
      <c r="A24" s="18"/>
      <c r="E24" s="54"/>
      <c r="F24" s="54"/>
      <c r="G24" s="54"/>
      <c r="H24" s="54"/>
      <c r="I24" s="54"/>
      <c r="J24" s="54"/>
      <c r="K24" s="54"/>
    </row>
    <row r="25" spans="1:16" s="2" customFormat="1" ht="24" customHeight="1">
      <c r="A25" s="25" t="s">
        <v>52</v>
      </c>
      <c r="B25" s="20"/>
      <c r="C25" s="21"/>
      <c r="D25" s="10"/>
      <c r="H25" s="47"/>
      <c r="I25" s="47"/>
      <c r="J25" s="47"/>
      <c r="K25" s="47"/>
      <c r="M25"/>
      <c r="N25"/>
      <c r="O25"/>
      <c r="P25"/>
    </row>
    <row r="26" spans="1:16" s="2" customFormat="1" ht="24" customHeight="1" thickBot="1">
      <c r="A26" s="19" t="s">
        <v>63</v>
      </c>
      <c r="B26" s="8"/>
      <c r="C26" s="21">
        <v>33</v>
      </c>
      <c r="D26" s="10"/>
      <c r="E26" s="50">
        <v>0.23</v>
      </c>
      <c r="F26" s="51"/>
      <c r="G26" s="50">
        <v>0.16</v>
      </c>
      <c r="H26" s="51"/>
      <c r="I26" s="50">
        <v>0.22</v>
      </c>
      <c r="J26" s="51"/>
      <c r="K26" s="50">
        <v>0.15</v>
      </c>
      <c r="M26"/>
      <c r="N26"/>
      <c r="O26"/>
      <c r="P26"/>
    </row>
    <row r="27" spans="1:16" ht="24" customHeight="1" thickTop="1">
      <c r="A27" s="18"/>
      <c r="E27" s="54"/>
      <c r="F27" s="54"/>
      <c r="G27" s="54"/>
      <c r="H27" s="54"/>
      <c r="I27" s="54"/>
      <c r="J27" s="54"/>
      <c r="K27" s="54"/>
    </row>
    <row r="28" spans="1:16" ht="24" customHeight="1">
      <c r="A28" s="9" t="s">
        <v>16</v>
      </c>
      <c r="E28" s="66"/>
      <c r="F28" s="66"/>
      <c r="G28" s="66"/>
      <c r="H28" s="66"/>
      <c r="I28" s="66"/>
      <c r="J28" s="66"/>
      <c r="K28" s="66"/>
    </row>
    <row r="29" spans="1:16" s="8" customFormat="1" ht="24" customHeight="1">
      <c r="A29" s="4" t="s">
        <v>85</v>
      </c>
      <c r="B29" s="5"/>
      <c r="C29" s="91"/>
      <c r="D29" s="7"/>
      <c r="E29" s="7"/>
      <c r="F29" s="7"/>
      <c r="G29" s="7"/>
      <c r="H29" s="7"/>
      <c r="I29" s="7"/>
      <c r="J29" s="7"/>
      <c r="K29" s="7"/>
      <c r="M29"/>
      <c r="N29"/>
      <c r="O29"/>
      <c r="P29"/>
    </row>
    <row r="30" spans="1:16" s="8" customFormat="1" ht="24" customHeight="1">
      <c r="A30" s="4" t="s">
        <v>96</v>
      </c>
      <c r="B30" s="5"/>
      <c r="C30" s="91"/>
      <c r="D30" s="7"/>
      <c r="E30" s="7"/>
      <c r="F30" s="7"/>
      <c r="G30" s="7"/>
      <c r="H30" s="7"/>
      <c r="I30" s="7"/>
      <c r="J30" s="7"/>
      <c r="K30" s="7"/>
      <c r="M30"/>
      <c r="N30"/>
      <c r="O30"/>
      <c r="P30"/>
    </row>
    <row r="31" spans="1:16" s="8" customFormat="1" ht="24" customHeight="1">
      <c r="A31" s="4" t="s">
        <v>130</v>
      </c>
      <c r="B31" s="5"/>
      <c r="C31" s="91"/>
      <c r="D31" s="7"/>
      <c r="E31" s="7"/>
      <c r="F31" s="7"/>
      <c r="G31" s="7"/>
      <c r="H31" s="7"/>
      <c r="I31" s="7"/>
      <c r="J31" s="7"/>
      <c r="K31" s="7"/>
      <c r="M31"/>
      <c r="N31"/>
      <c r="O31"/>
      <c r="P31"/>
    </row>
    <row r="32" spans="1:16" s="8" customFormat="1" ht="24" customHeight="1">
      <c r="B32" s="5"/>
      <c r="C32" s="91"/>
      <c r="D32" s="7"/>
      <c r="E32" s="7"/>
      <c r="F32" s="7"/>
      <c r="G32" s="7"/>
      <c r="H32" s="7"/>
      <c r="I32" s="7"/>
      <c r="J32" s="7"/>
      <c r="K32" s="3" t="s">
        <v>2</v>
      </c>
      <c r="M32"/>
      <c r="N32"/>
      <c r="O32"/>
      <c r="P32"/>
    </row>
    <row r="33" spans="1:11" ht="24" customHeight="1">
      <c r="E33" s="126" t="s">
        <v>3</v>
      </c>
      <c r="F33" s="126"/>
      <c r="G33" s="126"/>
      <c r="H33" s="92"/>
      <c r="I33" s="126" t="s">
        <v>4</v>
      </c>
      <c r="J33" s="126"/>
      <c r="K33" s="126"/>
    </row>
    <row r="34" spans="1:11" ht="24" customHeight="1">
      <c r="C34" s="13" t="s">
        <v>5</v>
      </c>
      <c r="E34" s="74">
        <v>2566</v>
      </c>
      <c r="F34" s="93"/>
      <c r="G34" s="74">
        <v>2565</v>
      </c>
      <c r="H34" s="94"/>
      <c r="I34" s="74">
        <v>2566</v>
      </c>
      <c r="J34" s="95"/>
      <c r="K34" s="74">
        <v>2565</v>
      </c>
    </row>
    <row r="35" spans="1:11" ht="24" customHeight="1">
      <c r="C35" s="13"/>
      <c r="E35" s="91"/>
      <c r="F35" s="103"/>
      <c r="G35" s="91"/>
      <c r="H35" s="12"/>
      <c r="I35" s="12"/>
      <c r="J35" s="12"/>
      <c r="K35" s="91"/>
    </row>
    <row r="36" spans="1:11" ht="24" customHeight="1" thickBot="1">
      <c r="A36" s="18" t="s">
        <v>89</v>
      </c>
      <c r="E36" s="104">
        <f>E18</f>
        <v>3478706207</v>
      </c>
      <c r="F36" s="66"/>
      <c r="G36" s="104">
        <f>G18</f>
        <v>2436256069</v>
      </c>
      <c r="H36" s="66"/>
      <c r="I36" s="104">
        <f>I18</f>
        <v>3328357342</v>
      </c>
      <c r="J36" s="66"/>
      <c r="K36" s="104">
        <f>K18</f>
        <v>2313439266</v>
      </c>
    </row>
    <row r="37" spans="1:11" ht="24" customHeight="1" thickTop="1">
      <c r="A37" s="18"/>
      <c r="E37" s="66"/>
      <c r="F37" s="66"/>
      <c r="G37" s="66"/>
      <c r="H37" s="66"/>
      <c r="I37" s="66"/>
      <c r="J37" s="66"/>
      <c r="K37" s="66"/>
    </row>
    <row r="38" spans="1:11" ht="24" customHeight="1">
      <c r="A38" s="96" t="s">
        <v>88</v>
      </c>
      <c r="E38" s="66"/>
      <c r="F38" s="66"/>
      <c r="G38" s="66"/>
      <c r="H38" s="66"/>
      <c r="I38" s="66"/>
      <c r="J38" s="66"/>
      <c r="K38" s="66"/>
    </row>
    <row r="39" spans="1:11" ht="24" customHeight="1">
      <c r="A39" s="105" t="s">
        <v>95</v>
      </c>
      <c r="E39" s="66"/>
      <c r="F39" s="66"/>
      <c r="G39" s="66"/>
      <c r="H39" s="66"/>
      <c r="I39" s="66"/>
      <c r="J39" s="66"/>
      <c r="K39" s="66"/>
    </row>
    <row r="40" spans="1:11" ht="24" customHeight="1">
      <c r="A40" s="101" t="s">
        <v>135</v>
      </c>
      <c r="C40" s="21"/>
      <c r="E40" s="68">
        <v>-57817065</v>
      </c>
      <c r="F40" s="66"/>
      <c r="G40" s="68">
        <v>170438852</v>
      </c>
      <c r="H40" s="66"/>
      <c r="I40" s="68">
        <v>-57817065</v>
      </c>
      <c r="J40" s="66"/>
      <c r="K40" s="68">
        <v>170438852</v>
      </c>
    </row>
    <row r="41" spans="1:11" ht="24" customHeight="1">
      <c r="A41" s="101"/>
      <c r="E41" s="68">
        <f>SUM(E40:E40)</f>
        <v>-57817065</v>
      </c>
      <c r="F41" s="66"/>
      <c r="G41" s="68">
        <f>SUM(G40:G40)</f>
        <v>170438852</v>
      </c>
      <c r="H41" s="66"/>
      <c r="I41" s="68">
        <f>SUM(I40:I40)</f>
        <v>-57817065</v>
      </c>
      <c r="J41" s="66"/>
      <c r="K41" s="68">
        <f>SUM(K40:K40)</f>
        <v>170438852</v>
      </c>
    </row>
    <row r="42" spans="1:11" ht="24" customHeight="1">
      <c r="A42" s="101"/>
      <c r="E42" s="66"/>
      <c r="F42" s="66"/>
      <c r="G42" s="66"/>
      <c r="H42" s="66"/>
      <c r="I42" s="66"/>
      <c r="J42" s="66"/>
      <c r="K42" s="66"/>
    </row>
    <row r="43" spans="1:11" ht="24" customHeight="1">
      <c r="A43" s="105" t="s">
        <v>107</v>
      </c>
      <c r="E43" s="66"/>
      <c r="F43" s="66"/>
      <c r="G43" s="66"/>
      <c r="H43" s="66"/>
      <c r="I43" s="66"/>
      <c r="J43" s="66"/>
      <c r="K43" s="66"/>
    </row>
    <row r="44" spans="1:11" ht="24" customHeight="1">
      <c r="A44" s="101" t="s">
        <v>136</v>
      </c>
      <c r="E44" s="66">
        <v>-1363190397</v>
      </c>
      <c r="F44" s="66"/>
      <c r="G44" s="66">
        <v>-1819164507</v>
      </c>
      <c r="H44" s="66"/>
      <c r="I44" s="66">
        <v>-1363190397</v>
      </c>
      <c r="J44" s="66"/>
      <c r="K44" s="66">
        <v>-1819164507</v>
      </c>
    </row>
    <row r="45" spans="1:11" ht="24" customHeight="1">
      <c r="A45" s="101" t="s">
        <v>123</v>
      </c>
      <c r="C45" s="21">
        <v>24</v>
      </c>
      <c r="E45" s="68">
        <v>177259225</v>
      </c>
      <c r="F45" s="66"/>
      <c r="G45" s="68">
        <v>0</v>
      </c>
      <c r="H45" s="66"/>
      <c r="I45" s="68">
        <v>177259225</v>
      </c>
      <c r="J45" s="66"/>
      <c r="K45" s="68">
        <v>0</v>
      </c>
    </row>
    <row r="46" spans="1:11" ht="24" customHeight="1">
      <c r="A46" s="101"/>
      <c r="E46" s="68">
        <f>SUM(E44:E45)</f>
        <v>-1185931172</v>
      </c>
      <c r="F46" s="66"/>
      <c r="G46" s="68">
        <f>SUM(G44:G45)</f>
        <v>-1819164507</v>
      </c>
      <c r="H46" s="66"/>
      <c r="I46" s="68">
        <f>SUM(I44:I45)</f>
        <v>-1185931172</v>
      </c>
      <c r="J46" s="66"/>
      <c r="K46" s="68">
        <f>SUM(K44:K45)</f>
        <v>-1819164507</v>
      </c>
    </row>
    <row r="47" spans="1:11" ht="24" customHeight="1">
      <c r="A47" s="96" t="s">
        <v>68</v>
      </c>
      <c r="B47" s="2"/>
      <c r="C47" s="97"/>
      <c r="D47" s="98"/>
      <c r="E47" s="55">
        <f>SUM(E41,E46)</f>
        <v>-1243748237</v>
      </c>
      <c r="F47" s="54"/>
      <c r="G47" s="55">
        <f>SUM(G41,G46)</f>
        <v>-1648725655</v>
      </c>
      <c r="H47" s="67"/>
      <c r="I47" s="55">
        <f>SUM(I41,I46)</f>
        <v>-1243748237</v>
      </c>
      <c r="J47" s="67"/>
      <c r="K47" s="55">
        <f>SUM(K41,K46)</f>
        <v>-1648725655</v>
      </c>
    </row>
    <row r="48" spans="1:11" ht="24" customHeight="1">
      <c r="A48" s="96"/>
      <c r="B48" s="2"/>
      <c r="C48" s="106"/>
      <c r="D48" s="107"/>
      <c r="E48" s="54"/>
      <c r="F48" s="54"/>
      <c r="G48" s="54"/>
      <c r="H48" s="67"/>
      <c r="I48" s="54"/>
      <c r="J48" s="67"/>
      <c r="K48" s="54"/>
    </row>
    <row r="49" spans="1:16" ht="24" customHeight="1" thickBot="1">
      <c r="A49" s="96" t="s">
        <v>69</v>
      </c>
      <c r="B49" s="2"/>
      <c r="C49" s="106"/>
      <c r="D49" s="107"/>
      <c r="E49" s="87">
        <f>E18+E47</f>
        <v>2234957970</v>
      </c>
      <c r="F49" s="54"/>
      <c r="G49" s="87">
        <f>G18+G47</f>
        <v>787530414</v>
      </c>
      <c r="H49" s="67"/>
      <c r="I49" s="87">
        <f>I18+I47</f>
        <v>2084609105</v>
      </c>
      <c r="J49" s="67"/>
      <c r="K49" s="87">
        <f>K18+K47</f>
        <v>664713611</v>
      </c>
    </row>
    <row r="50" spans="1:16" ht="24" customHeight="1" thickTop="1">
      <c r="A50" s="96"/>
      <c r="B50" s="2"/>
      <c r="C50" s="106"/>
      <c r="D50" s="107"/>
      <c r="E50" s="69"/>
      <c r="F50" s="100"/>
      <c r="G50" s="69"/>
      <c r="H50" s="67"/>
      <c r="I50" s="54"/>
      <c r="J50" s="67"/>
      <c r="K50" s="54"/>
    </row>
    <row r="51" spans="1:16" s="2" customFormat="1" ht="24" customHeight="1">
      <c r="A51" s="18" t="s">
        <v>57</v>
      </c>
      <c r="B51" s="10"/>
      <c r="C51" s="21"/>
      <c r="D51" s="10"/>
      <c r="E51" s="54"/>
      <c r="F51" s="67"/>
      <c r="G51" s="54"/>
      <c r="H51" s="67"/>
      <c r="I51" s="54"/>
      <c r="J51" s="67"/>
      <c r="K51" s="54"/>
      <c r="M51"/>
      <c r="N51"/>
      <c r="O51"/>
      <c r="P51"/>
    </row>
    <row r="52" spans="1:16" s="2" customFormat="1" ht="24" customHeight="1" thickBot="1">
      <c r="A52" s="9" t="s">
        <v>62</v>
      </c>
      <c r="B52" s="10"/>
      <c r="C52" s="21"/>
      <c r="D52" s="10"/>
      <c r="E52" s="38">
        <f>E54-E53</f>
        <v>2234903277</v>
      </c>
      <c r="F52" s="67"/>
      <c r="G52" s="38">
        <f>G54-G53</f>
        <v>787458888</v>
      </c>
      <c r="H52" s="67"/>
      <c r="I52" s="112">
        <f>SUM(I49)</f>
        <v>2084609105</v>
      </c>
      <c r="J52" s="67"/>
      <c r="K52" s="112">
        <f>SUM(K49)</f>
        <v>664713611</v>
      </c>
      <c r="M52"/>
      <c r="N52"/>
      <c r="O52"/>
      <c r="P52"/>
    </row>
    <row r="53" spans="1:16" s="2" customFormat="1" ht="24" customHeight="1" thickTop="1">
      <c r="A53" s="9" t="s">
        <v>50</v>
      </c>
      <c r="B53" s="10"/>
      <c r="C53" s="21"/>
      <c r="D53" s="10"/>
      <c r="E53" s="54">
        <f>E22</f>
        <v>54693</v>
      </c>
      <c r="F53" s="67"/>
      <c r="G53" s="54">
        <f>G22</f>
        <v>71526</v>
      </c>
      <c r="H53" s="67"/>
      <c r="I53" s="67"/>
      <c r="J53" s="67"/>
      <c r="K53" s="54"/>
      <c r="M53"/>
      <c r="N53"/>
      <c r="O53"/>
      <c r="P53"/>
    </row>
    <row r="54" spans="1:16" s="2" customFormat="1" ht="24" customHeight="1" thickBot="1">
      <c r="A54" s="9"/>
      <c r="B54" s="10"/>
      <c r="C54" s="91"/>
      <c r="D54" s="10"/>
      <c r="E54" s="102">
        <f>E49</f>
        <v>2234957970</v>
      </c>
      <c r="F54" s="66"/>
      <c r="G54" s="102">
        <f>G49</f>
        <v>787530414</v>
      </c>
      <c r="H54" s="66"/>
      <c r="I54" s="66"/>
      <c r="J54" s="66"/>
      <c r="K54" s="66"/>
      <c r="M54"/>
      <c r="N54"/>
      <c r="O54"/>
      <c r="P54"/>
    </row>
    <row r="55" spans="1:16" s="2" customFormat="1" ht="24" customHeight="1" thickTop="1">
      <c r="A55" s="9"/>
      <c r="B55" s="10"/>
      <c r="C55" s="91"/>
      <c r="D55" s="10"/>
      <c r="E55" s="54"/>
      <c r="F55" s="67"/>
      <c r="G55" s="54"/>
      <c r="H55" s="66"/>
      <c r="I55" s="66"/>
      <c r="J55" s="66"/>
      <c r="K55" s="66"/>
      <c r="M55"/>
      <c r="N55"/>
      <c r="O55"/>
      <c r="P55"/>
    </row>
    <row r="56" spans="1:16" s="2" customFormat="1" ht="24" customHeight="1">
      <c r="A56" s="9" t="s">
        <v>16</v>
      </c>
      <c r="B56" s="10"/>
      <c r="C56" s="17"/>
      <c r="D56" s="17"/>
      <c r="E56" s="17"/>
      <c r="F56" s="51"/>
      <c r="G56" s="113"/>
      <c r="H56" s="10"/>
      <c r="I56" s="10"/>
      <c r="J56" s="10"/>
      <c r="K56" s="113"/>
      <c r="M56"/>
      <c r="N56"/>
      <c r="O56"/>
      <c r="P56"/>
    </row>
    <row r="57" spans="1:16" ht="24" customHeight="1">
      <c r="A57" s="10"/>
    </row>
    <row r="59" spans="1:16" s="9" customFormat="1" ht="24" customHeight="1">
      <c r="B59" s="10"/>
      <c r="C59" s="91"/>
      <c r="D59" s="10"/>
      <c r="E59" s="10"/>
      <c r="F59" s="10"/>
      <c r="G59" s="10"/>
      <c r="H59" s="10"/>
      <c r="I59" s="10"/>
      <c r="J59" s="10"/>
      <c r="K59" s="10"/>
      <c r="M59"/>
      <c r="N59"/>
      <c r="O59"/>
      <c r="P59"/>
    </row>
    <row r="60" spans="1:16" s="9" customFormat="1" ht="24" customHeight="1">
      <c r="B60" s="10"/>
      <c r="C60" s="91"/>
      <c r="D60" s="10"/>
      <c r="E60" s="10"/>
      <c r="F60" s="10"/>
      <c r="G60" s="10"/>
      <c r="H60" s="10"/>
      <c r="I60" s="10"/>
      <c r="J60" s="10"/>
      <c r="K60" s="10"/>
      <c r="M60"/>
      <c r="N60"/>
      <c r="O60"/>
      <c r="P60"/>
    </row>
    <row r="61" spans="1:16" s="9" customFormat="1" ht="24" customHeight="1">
      <c r="B61" s="10"/>
      <c r="C61" s="91"/>
      <c r="D61" s="10"/>
      <c r="E61" s="10"/>
      <c r="F61" s="10"/>
      <c r="G61" s="10"/>
      <c r="H61" s="10"/>
      <c r="I61" s="10"/>
      <c r="J61" s="10"/>
      <c r="K61" s="10"/>
      <c r="M61"/>
      <c r="N61"/>
      <c r="O61"/>
      <c r="P61"/>
    </row>
    <row r="62" spans="1:16" s="9" customFormat="1" ht="24" customHeight="1">
      <c r="B62" s="10"/>
      <c r="C62" s="91"/>
      <c r="D62" s="10"/>
      <c r="E62" s="10"/>
      <c r="F62" s="10"/>
      <c r="G62" s="10"/>
      <c r="H62" s="10"/>
      <c r="I62" s="10"/>
      <c r="J62" s="10"/>
      <c r="K62" s="10"/>
      <c r="M62"/>
      <c r="N62"/>
      <c r="O62"/>
      <c r="P62"/>
    </row>
    <row r="63" spans="1:16" s="9" customFormat="1" ht="24" customHeight="1">
      <c r="B63" s="10"/>
      <c r="C63" s="91"/>
      <c r="D63" s="10"/>
      <c r="E63" s="10"/>
      <c r="F63" s="10"/>
      <c r="G63" s="10"/>
      <c r="H63" s="10"/>
      <c r="I63" s="10"/>
      <c r="J63" s="10"/>
      <c r="K63" s="10"/>
      <c r="M63"/>
      <c r="N63"/>
      <c r="O63"/>
      <c r="P63"/>
    </row>
    <row r="64" spans="1:16" s="9" customFormat="1" ht="24" customHeight="1">
      <c r="B64" s="10"/>
      <c r="C64" s="91"/>
      <c r="D64" s="10"/>
      <c r="E64" s="10"/>
      <c r="F64" s="10"/>
      <c r="G64" s="10"/>
      <c r="H64" s="10"/>
      <c r="I64" s="10"/>
      <c r="J64" s="10"/>
      <c r="K64" s="10"/>
      <c r="M64"/>
      <c r="N64"/>
      <c r="O64"/>
      <c r="P64"/>
    </row>
    <row r="65" spans="2:16" s="9" customFormat="1" ht="24" customHeight="1">
      <c r="B65" s="10"/>
      <c r="C65" s="91"/>
      <c r="D65" s="10"/>
      <c r="E65" s="10"/>
      <c r="F65" s="10"/>
      <c r="G65" s="10"/>
      <c r="H65" s="10"/>
      <c r="I65" s="10"/>
      <c r="J65" s="10"/>
      <c r="K65" s="10"/>
      <c r="M65"/>
      <c r="N65"/>
      <c r="O65"/>
      <c r="P65"/>
    </row>
    <row r="66" spans="2:16" s="9" customFormat="1" ht="24" customHeight="1">
      <c r="B66" s="10"/>
      <c r="C66" s="91"/>
      <c r="D66" s="10"/>
      <c r="E66" s="10"/>
      <c r="F66" s="10"/>
      <c r="G66" s="10"/>
      <c r="H66" s="10"/>
      <c r="I66" s="10"/>
      <c r="J66" s="10"/>
      <c r="K66" s="10"/>
      <c r="M66"/>
      <c r="N66"/>
      <c r="O66"/>
      <c r="P66"/>
    </row>
    <row r="67" spans="2:16" s="9" customFormat="1" ht="24" customHeight="1">
      <c r="B67" s="10"/>
      <c r="C67" s="91"/>
      <c r="D67" s="10"/>
      <c r="E67" s="10"/>
      <c r="F67" s="10"/>
      <c r="G67" s="10"/>
      <c r="H67" s="10"/>
      <c r="I67" s="10"/>
      <c r="J67" s="10"/>
      <c r="K67" s="10"/>
      <c r="M67"/>
      <c r="N67"/>
      <c r="O67"/>
      <c r="P67"/>
    </row>
    <row r="68" spans="2:16" s="9" customFormat="1" ht="24" customHeight="1">
      <c r="B68" s="10"/>
      <c r="C68" s="91"/>
      <c r="D68" s="10"/>
      <c r="E68" s="10"/>
      <c r="F68" s="10"/>
      <c r="G68" s="10"/>
      <c r="H68" s="10"/>
      <c r="I68" s="10"/>
      <c r="J68" s="10"/>
      <c r="K68" s="10"/>
      <c r="M68"/>
      <c r="N68"/>
      <c r="O68"/>
      <c r="P68"/>
    </row>
    <row r="69" spans="2:16" s="9" customFormat="1" ht="24" customHeight="1">
      <c r="B69" s="10"/>
      <c r="C69" s="91"/>
      <c r="D69" s="10"/>
      <c r="E69" s="10"/>
      <c r="F69" s="10"/>
      <c r="G69" s="10"/>
      <c r="H69" s="10"/>
      <c r="I69" s="10"/>
      <c r="J69" s="10"/>
      <c r="K69" s="10"/>
      <c r="M69"/>
      <c r="N69"/>
      <c r="O69"/>
      <c r="P69"/>
    </row>
    <row r="70" spans="2:16" s="9" customFormat="1" ht="24" customHeight="1">
      <c r="B70" s="10"/>
      <c r="C70" s="91"/>
      <c r="D70" s="10"/>
      <c r="E70" s="10"/>
      <c r="F70" s="10"/>
      <c r="G70" s="10"/>
      <c r="H70" s="10"/>
      <c r="I70" s="10"/>
      <c r="J70" s="10"/>
      <c r="K70" s="10"/>
      <c r="M70"/>
      <c r="N70"/>
      <c r="O70"/>
      <c r="P70"/>
    </row>
    <row r="71" spans="2:16" s="9" customFormat="1" ht="24" customHeight="1">
      <c r="B71" s="10"/>
      <c r="C71" s="91"/>
      <c r="D71" s="10"/>
      <c r="E71" s="10"/>
      <c r="F71" s="10"/>
      <c r="G71" s="10"/>
      <c r="H71" s="10"/>
      <c r="I71" s="10"/>
      <c r="J71" s="10"/>
      <c r="K71" s="10"/>
      <c r="M71"/>
      <c r="N71"/>
      <c r="O71"/>
      <c r="P71"/>
    </row>
    <row r="72" spans="2:16" s="9" customFormat="1" ht="24" customHeight="1">
      <c r="B72" s="10"/>
      <c r="C72" s="91"/>
      <c r="D72" s="10"/>
      <c r="E72" s="10"/>
      <c r="F72" s="10"/>
      <c r="G72" s="10"/>
      <c r="H72" s="10"/>
      <c r="I72" s="10"/>
      <c r="J72" s="10"/>
      <c r="K72" s="10"/>
      <c r="M72"/>
      <c r="N72"/>
      <c r="O72"/>
      <c r="P72"/>
    </row>
    <row r="73" spans="2:16" s="9" customFormat="1" ht="24" customHeight="1">
      <c r="B73" s="10"/>
      <c r="C73" s="91"/>
      <c r="D73" s="10"/>
      <c r="E73" s="10"/>
      <c r="F73" s="10"/>
      <c r="G73" s="10"/>
      <c r="H73" s="10"/>
      <c r="I73" s="10"/>
      <c r="J73" s="10"/>
      <c r="K73" s="10"/>
      <c r="M73"/>
      <c r="N73"/>
      <c r="O73"/>
      <c r="P73"/>
    </row>
    <row r="74" spans="2:16" s="9" customFormat="1" ht="24" customHeight="1">
      <c r="B74" s="10"/>
      <c r="C74" s="91"/>
      <c r="D74" s="10"/>
      <c r="E74" s="10"/>
      <c r="F74" s="10"/>
      <c r="G74" s="10"/>
      <c r="H74" s="10"/>
      <c r="I74" s="10"/>
      <c r="J74" s="10"/>
      <c r="K74" s="10"/>
      <c r="M74"/>
      <c r="N74"/>
      <c r="O74"/>
      <c r="P74"/>
    </row>
    <row r="75" spans="2:16" s="9" customFormat="1" ht="24" customHeight="1">
      <c r="B75" s="10"/>
      <c r="C75" s="91"/>
      <c r="D75" s="10"/>
      <c r="E75" s="10"/>
      <c r="F75" s="10"/>
      <c r="G75" s="10"/>
      <c r="H75" s="10"/>
      <c r="I75" s="10"/>
      <c r="J75" s="10"/>
      <c r="K75" s="10"/>
      <c r="M75"/>
      <c r="N75"/>
      <c r="O75"/>
      <c r="P75"/>
    </row>
    <row r="76" spans="2:16" s="9" customFormat="1" ht="24" customHeight="1">
      <c r="B76" s="10"/>
      <c r="C76" s="91"/>
      <c r="D76" s="10"/>
      <c r="E76" s="10"/>
      <c r="F76" s="10"/>
      <c r="G76" s="10"/>
      <c r="H76" s="10"/>
      <c r="I76" s="10"/>
      <c r="J76" s="10"/>
      <c r="K76" s="10"/>
      <c r="M76"/>
      <c r="N76"/>
      <c r="O76"/>
      <c r="P76"/>
    </row>
    <row r="77" spans="2:16" s="9" customFormat="1" ht="24" customHeight="1">
      <c r="B77" s="10"/>
      <c r="C77" s="91"/>
      <c r="D77" s="10"/>
      <c r="E77" s="10"/>
      <c r="F77" s="10"/>
      <c r="G77" s="10"/>
      <c r="H77" s="10"/>
      <c r="I77" s="10"/>
      <c r="J77" s="10"/>
      <c r="K77" s="10"/>
      <c r="M77"/>
      <c r="N77"/>
      <c r="O77"/>
      <c r="P77"/>
    </row>
    <row r="78" spans="2:16" s="9" customFormat="1" ht="24" customHeight="1">
      <c r="B78" s="10"/>
      <c r="C78" s="91"/>
      <c r="D78" s="10"/>
      <c r="E78" s="10"/>
      <c r="F78" s="10"/>
      <c r="G78" s="10"/>
      <c r="H78" s="10"/>
      <c r="I78" s="10"/>
      <c r="J78" s="10"/>
      <c r="K78" s="10"/>
      <c r="M78"/>
      <c r="N78"/>
      <c r="O78"/>
      <c r="P78"/>
    </row>
    <row r="79" spans="2:16" s="9" customFormat="1" ht="24" customHeight="1">
      <c r="B79" s="10"/>
      <c r="C79" s="91"/>
      <c r="D79" s="10"/>
      <c r="E79" s="10"/>
      <c r="F79" s="10"/>
      <c r="G79" s="10"/>
      <c r="H79" s="10"/>
      <c r="I79" s="10"/>
      <c r="J79" s="10"/>
      <c r="K79" s="10"/>
      <c r="M79"/>
      <c r="N79"/>
      <c r="O79"/>
      <c r="P79"/>
    </row>
    <row r="80" spans="2:16" s="9" customFormat="1" ht="24" customHeight="1">
      <c r="B80" s="10"/>
      <c r="C80" s="91"/>
      <c r="D80" s="10"/>
      <c r="E80" s="10"/>
      <c r="F80" s="10"/>
      <c r="G80" s="10"/>
      <c r="H80" s="10"/>
      <c r="I80" s="10"/>
      <c r="J80" s="10"/>
      <c r="K80" s="10"/>
      <c r="M80"/>
      <c r="N80"/>
      <c r="O80"/>
      <c r="P80"/>
    </row>
    <row r="81" spans="2:16" s="9" customFormat="1" ht="24" customHeight="1">
      <c r="B81" s="10"/>
      <c r="C81" s="91"/>
      <c r="D81" s="10"/>
      <c r="E81" s="10"/>
      <c r="F81" s="10"/>
      <c r="G81" s="10"/>
      <c r="H81" s="10"/>
      <c r="I81" s="10"/>
      <c r="J81" s="10"/>
      <c r="K81" s="10"/>
      <c r="M81"/>
      <c r="N81"/>
      <c r="O81"/>
      <c r="P81"/>
    </row>
    <row r="82" spans="2:16" s="9" customFormat="1" ht="24" customHeight="1">
      <c r="B82" s="10"/>
      <c r="C82" s="91"/>
      <c r="D82" s="10"/>
      <c r="E82" s="10"/>
      <c r="F82" s="10"/>
      <c r="G82" s="10"/>
      <c r="H82" s="10"/>
      <c r="I82" s="10"/>
      <c r="J82" s="10"/>
      <c r="K82" s="10"/>
      <c r="M82"/>
      <c r="N82"/>
      <c r="O82"/>
      <c r="P82"/>
    </row>
    <row r="83" spans="2:16" s="9" customFormat="1" ht="24" customHeight="1">
      <c r="B83" s="10"/>
      <c r="C83" s="91"/>
      <c r="D83" s="10"/>
      <c r="E83" s="10"/>
      <c r="F83" s="10"/>
      <c r="G83" s="10"/>
      <c r="H83" s="10"/>
      <c r="I83" s="10"/>
      <c r="J83" s="10"/>
      <c r="K83" s="10"/>
      <c r="M83"/>
      <c r="N83"/>
      <c r="O83"/>
      <c r="P83"/>
    </row>
    <row r="84" spans="2:16" s="9" customFormat="1" ht="24" customHeight="1">
      <c r="B84" s="10"/>
      <c r="C84" s="91"/>
      <c r="D84" s="10"/>
      <c r="E84" s="10"/>
      <c r="F84" s="10"/>
      <c r="G84" s="10"/>
      <c r="H84" s="10"/>
      <c r="I84" s="10"/>
      <c r="J84" s="10"/>
      <c r="K84" s="10"/>
      <c r="M84"/>
      <c r="N84"/>
      <c r="O84"/>
      <c r="P84"/>
    </row>
    <row r="85" spans="2:16" s="9" customFormat="1" ht="24" customHeight="1">
      <c r="B85" s="10"/>
      <c r="C85" s="91"/>
      <c r="D85" s="10"/>
      <c r="E85" s="10"/>
      <c r="F85" s="10"/>
      <c r="G85" s="10"/>
      <c r="H85" s="10"/>
      <c r="I85" s="10"/>
      <c r="J85" s="10"/>
      <c r="K85" s="10"/>
      <c r="M85"/>
      <c r="N85"/>
      <c r="O85"/>
      <c r="P85"/>
    </row>
    <row r="86" spans="2:16" s="9" customFormat="1" ht="24" customHeight="1">
      <c r="B86" s="10"/>
      <c r="C86" s="91"/>
      <c r="D86" s="10"/>
      <c r="E86" s="10"/>
      <c r="F86" s="10"/>
      <c r="G86" s="10"/>
      <c r="H86" s="10"/>
      <c r="I86" s="10"/>
      <c r="J86" s="10"/>
      <c r="K86" s="10"/>
      <c r="M86"/>
      <c r="N86"/>
      <c r="O86"/>
      <c r="P86"/>
    </row>
    <row r="87" spans="2:16" s="9" customFormat="1" ht="24" customHeight="1">
      <c r="B87" s="10"/>
      <c r="C87" s="91"/>
      <c r="D87" s="10"/>
      <c r="E87" s="10"/>
      <c r="F87" s="10"/>
      <c r="G87" s="10"/>
      <c r="H87" s="10"/>
      <c r="I87" s="10"/>
      <c r="J87" s="10"/>
      <c r="K87" s="10"/>
      <c r="M87"/>
      <c r="N87"/>
      <c r="O87"/>
      <c r="P87"/>
    </row>
    <row r="88" spans="2:16" s="9" customFormat="1" ht="24" customHeight="1">
      <c r="B88" s="10"/>
      <c r="C88" s="91"/>
      <c r="D88" s="10"/>
      <c r="E88" s="10"/>
      <c r="F88" s="10"/>
      <c r="G88" s="10"/>
      <c r="H88" s="10"/>
      <c r="I88" s="10"/>
      <c r="J88" s="10"/>
      <c r="K88" s="10"/>
      <c r="M88"/>
      <c r="N88"/>
      <c r="O88"/>
      <c r="P88"/>
    </row>
    <row r="89" spans="2:16" s="9" customFormat="1" ht="24" customHeight="1">
      <c r="B89" s="10"/>
      <c r="C89" s="91"/>
      <c r="D89" s="10"/>
      <c r="E89" s="10"/>
      <c r="F89" s="10"/>
      <c r="G89" s="10"/>
      <c r="H89" s="10"/>
      <c r="I89" s="10"/>
      <c r="J89" s="10"/>
      <c r="K89" s="10"/>
      <c r="M89"/>
      <c r="N89"/>
      <c r="O89"/>
      <c r="P89"/>
    </row>
    <row r="90" spans="2:16" s="9" customFormat="1" ht="24" customHeight="1">
      <c r="B90" s="10"/>
      <c r="C90" s="91"/>
      <c r="D90" s="10"/>
      <c r="E90" s="10"/>
      <c r="F90" s="10"/>
      <c r="G90" s="10"/>
      <c r="H90" s="10"/>
      <c r="I90" s="10"/>
      <c r="J90" s="10"/>
      <c r="K90" s="10"/>
      <c r="M90"/>
      <c r="N90"/>
      <c r="O90"/>
      <c r="P90"/>
    </row>
    <row r="91" spans="2:16" s="9" customFormat="1" ht="24" customHeight="1">
      <c r="B91" s="10"/>
      <c r="C91" s="91"/>
      <c r="D91" s="10"/>
      <c r="E91" s="10"/>
      <c r="F91" s="10"/>
      <c r="G91" s="10"/>
      <c r="H91" s="10"/>
      <c r="I91" s="10"/>
      <c r="J91" s="10"/>
      <c r="K91" s="10"/>
      <c r="M91"/>
      <c r="N91"/>
      <c r="O91"/>
      <c r="P91"/>
    </row>
    <row r="92" spans="2:16" s="9" customFormat="1" ht="24" customHeight="1">
      <c r="B92" s="10"/>
      <c r="C92" s="91"/>
      <c r="D92" s="10"/>
      <c r="E92" s="10"/>
      <c r="F92" s="10"/>
      <c r="G92" s="10"/>
      <c r="H92" s="10"/>
      <c r="I92" s="10"/>
      <c r="J92" s="10"/>
      <c r="K92" s="10"/>
      <c r="M92"/>
      <c r="N92"/>
      <c r="O92"/>
      <c r="P92"/>
    </row>
    <row r="93" spans="2:16" s="9" customFormat="1" ht="24" customHeight="1">
      <c r="B93" s="10"/>
      <c r="C93" s="91"/>
      <c r="D93" s="10"/>
      <c r="E93" s="10"/>
      <c r="F93" s="10"/>
      <c r="G93" s="10"/>
      <c r="H93" s="10"/>
      <c r="I93" s="10"/>
      <c r="J93" s="10"/>
      <c r="K93" s="10"/>
      <c r="M93"/>
      <c r="N93"/>
      <c r="O93"/>
      <c r="P93"/>
    </row>
    <row r="94" spans="2:16" s="9" customFormat="1" ht="24" customHeight="1">
      <c r="B94" s="10"/>
      <c r="C94" s="91"/>
      <c r="D94" s="10"/>
      <c r="E94" s="10"/>
      <c r="F94" s="10"/>
      <c r="G94" s="10"/>
      <c r="H94" s="10"/>
      <c r="I94" s="10"/>
      <c r="J94" s="10"/>
      <c r="K94" s="10"/>
      <c r="M94"/>
      <c r="N94"/>
      <c r="O94"/>
      <c r="P94"/>
    </row>
    <row r="95" spans="2:16" s="9" customFormat="1" ht="24" customHeight="1">
      <c r="B95" s="10"/>
      <c r="C95" s="91"/>
      <c r="D95" s="10"/>
      <c r="E95" s="10"/>
      <c r="F95" s="10"/>
      <c r="G95" s="10"/>
      <c r="H95" s="10"/>
      <c r="I95" s="10"/>
      <c r="J95" s="10"/>
      <c r="K95" s="10"/>
      <c r="M95"/>
      <c r="N95"/>
      <c r="O95"/>
      <c r="P95"/>
    </row>
    <row r="96" spans="2:16" s="9" customFormat="1" ht="24" customHeight="1">
      <c r="B96" s="10"/>
      <c r="C96" s="91"/>
      <c r="D96" s="10"/>
      <c r="E96" s="10"/>
      <c r="F96" s="10"/>
      <c r="G96" s="10"/>
      <c r="H96" s="10"/>
      <c r="I96" s="10"/>
      <c r="J96" s="10"/>
      <c r="K96" s="10"/>
      <c r="M96"/>
      <c r="N96"/>
      <c r="O96"/>
      <c r="P96"/>
    </row>
    <row r="97" spans="2:16" s="9" customFormat="1" ht="24" customHeight="1">
      <c r="B97" s="10"/>
      <c r="C97" s="91"/>
      <c r="D97" s="10"/>
      <c r="E97" s="10"/>
      <c r="F97" s="10"/>
      <c r="G97" s="10"/>
      <c r="H97" s="10"/>
      <c r="I97" s="10"/>
      <c r="J97" s="10"/>
      <c r="K97" s="10"/>
      <c r="M97"/>
      <c r="N97"/>
      <c r="O97"/>
      <c r="P97"/>
    </row>
    <row r="98" spans="2:16" s="9" customFormat="1" ht="24" customHeight="1">
      <c r="B98" s="10"/>
      <c r="C98" s="91"/>
      <c r="D98" s="10"/>
      <c r="E98" s="10"/>
      <c r="F98" s="10"/>
      <c r="G98" s="10"/>
      <c r="H98" s="10"/>
      <c r="I98" s="10"/>
      <c r="J98" s="10"/>
      <c r="K98" s="10"/>
      <c r="M98"/>
      <c r="N98"/>
      <c r="O98"/>
      <c r="P98"/>
    </row>
    <row r="99" spans="2:16" s="9" customFormat="1" ht="24" customHeight="1">
      <c r="B99" s="10"/>
      <c r="C99" s="91"/>
      <c r="D99" s="10"/>
      <c r="E99" s="10"/>
      <c r="F99" s="10"/>
      <c r="G99" s="10"/>
      <c r="H99" s="10"/>
      <c r="I99" s="10"/>
      <c r="J99" s="10"/>
      <c r="K99" s="10"/>
      <c r="M99"/>
      <c r="N99"/>
      <c r="O99"/>
      <c r="P99"/>
    </row>
    <row r="100" spans="2:16" s="9" customFormat="1" ht="24" customHeight="1">
      <c r="B100" s="10"/>
      <c r="C100" s="91"/>
      <c r="D100" s="10"/>
      <c r="E100" s="10"/>
      <c r="F100" s="10"/>
      <c r="G100" s="10"/>
      <c r="H100" s="10"/>
      <c r="I100" s="10"/>
      <c r="J100" s="10"/>
      <c r="K100" s="10"/>
      <c r="M100"/>
      <c r="N100"/>
      <c r="O100"/>
      <c r="P100"/>
    </row>
    <row r="101" spans="2:16" s="9" customFormat="1" ht="24" customHeight="1">
      <c r="B101" s="10"/>
      <c r="C101" s="91"/>
      <c r="D101" s="10"/>
      <c r="E101" s="10"/>
      <c r="F101" s="10"/>
      <c r="G101" s="10"/>
      <c r="H101" s="10"/>
      <c r="I101" s="10"/>
      <c r="J101" s="10"/>
      <c r="K101" s="10"/>
      <c r="M101"/>
      <c r="N101"/>
      <c r="O101"/>
      <c r="P101"/>
    </row>
    <row r="102" spans="2:16" s="9" customFormat="1" ht="24" customHeight="1">
      <c r="B102" s="10"/>
      <c r="C102" s="91"/>
      <c r="D102" s="10"/>
      <c r="E102" s="10"/>
      <c r="F102" s="10"/>
      <c r="G102" s="10"/>
      <c r="H102" s="10"/>
      <c r="I102" s="10"/>
      <c r="J102" s="10"/>
      <c r="K102" s="10"/>
      <c r="M102"/>
      <c r="N102"/>
      <c r="O102"/>
      <c r="P102"/>
    </row>
    <row r="103" spans="2:16" s="9" customFormat="1" ht="24" customHeight="1">
      <c r="B103" s="10"/>
      <c r="C103" s="91"/>
      <c r="D103" s="10"/>
      <c r="E103" s="10"/>
      <c r="F103" s="10"/>
      <c r="G103" s="10"/>
      <c r="H103" s="10"/>
      <c r="I103" s="10"/>
      <c r="J103" s="10"/>
      <c r="K103" s="10"/>
      <c r="M103"/>
      <c r="N103"/>
      <c r="O103"/>
      <c r="P103"/>
    </row>
    <row r="104" spans="2:16" s="9" customFormat="1" ht="24" customHeight="1">
      <c r="B104" s="10"/>
      <c r="C104" s="91"/>
      <c r="D104" s="10"/>
      <c r="E104" s="10"/>
      <c r="F104" s="10"/>
      <c r="G104" s="10"/>
      <c r="H104" s="10"/>
      <c r="I104" s="10"/>
      <c r="J104" s="10"/>
      <c r="K104" s="10"/>
      <c r="M104"/>
      <c r="N104"/>
      <c r="O104"/>
      <c r="P104"/>
    </row>
    <row r="105" spans="2:16" s="9" customFormat="1" ht="24" customHeight="1">
      <c r="B105" s="10"/>
      <c r="C105" s="91"/>
      <c r="D105" s="10"/>
      <c r="E105" s="10"/>
      <c r="F105" s="10"/>
      <c r="G105" s="10"/>
      <c r="H105" s="10"/>
      <c r="I105" s="10"/>
      <c r="J105" s="10"/>
      <c r="K105" s="10"/>
      <c r="M105"/>
      <c r="N105"/>
      <c r="O105"/>
      <c r="P105"/>
    </row>
    <row r="106" spans="2:16" s="9" customFormat="1" ht="24" customHeight="1">
      <c r="B106" s="10"/>
      <c r="C106" s="91"/>
      <c r="D106" s="10"/>
      <c r="E106" s="10"/>
      <c r="F106" s="10"/>
      <c r="G106" s="10"/>
      <c r="H106" s="10"/>
      <c r="I106" s="10"/>
      <c r="J106" s="10"/>
      <c r="K106" s="10"/>
      <c r="M106"/>
      <c r="N106"/>
      <c r="O106"/>
      <c r="P106"/>
    </row>
    <row r="107" spans="2:16" s="9" customFormat="1" ht="24" customHeight="1">
      <c r="B107" s="10"/>
      <c r="C107" s="91"/>
      <c r="D107" s="10"/>
      <c r="E107" s="10"/>
      <c r="F107" s="10"/>
      <c r="G107" s="10"/>
      <c r="H107" s="10"/>
      <c r="I107" s="10"/>
      <c r="J107" s="10"/>
      <c r="K107" s="10"/>
      <c r="M107"/>
      <c r="N107"/>
      <c r="O107"/>
      <c r="P107"/>
    </row>
    <row r="108" spans="2:16" s="9" customFormat="1" ht="24" customHeight="1">
      <c r="B108" s="10"/>
      <c r="C108" s="91"/>
      <c r="D108" s="10"/>
      <c r="E108" s="10"/>
      <c r="F108" s="10"/>
      <c r="G108" s="10"/>
      <c r="H108" s="10"/>
      <c r="I108" s="10"/>
      <c r="J108" s="10"/>
      <c r="K108" s="10"/>
      <c r="M108"/>
      <c r="N108"/>
      <c r="O108"/>
      <c r="P108"/>
    </row>
    <row r="109" spans="2:16" s="9" customFormat="1" ht="24" customHeight="1">
      <c r="B109" s="10"/>
      <c r="C109" s="91"/>
      <c r="D109" s="10"/>
      <c r="E109" s="10"/>
      <c r="F109" s="10"/>
      <c r="G109" s="10"/>
      <c r="H109" s="10"/>
      <c r="I109" s="10"/>
      <c r="J109" s="10"/>
      <c r="K109" s="10"/>
      <c r="M109"/>
      <c r="N109"/>
      <c r="O109"/>
      <c r="P109"/>
    </row>
    <row r="110" spans="2:16" s="9" customFormat="1" ht="24" customHeight="1">
      <c r="B110" s="10"/>
      <c r="C110" s="91"/>
      <c r="D110" s="10"/>
      <c r="E110" s="10"/>
      <c r="F110" s="10"/>
      <c r="G110" s="10"/>
      <c r="H110" s="10"/>
      <c r="I110" s="10"/>
      <c r="J110" s="10"/>
      <c r="K110" s="10"/>
      <c r="M110"/>
      <c r="N110"/>
      <c r="O110"/>
      <c r="P110"/>
    </row>
  </sheetData>
  <mergeCells count="4">
    <mergeCell ref="E5:G5"/>
    <mergeCell ref="E33:G33"/>
    <mergeCell ref="I5:K5"/>
    <mergeCell ref="I33:K33"/>
  </mergeCells>
  <printOptions horizontalCentered="1"/>
  <pageMargins left="0.66" right="0.3" top="0.78740157480314998" bottom="0.23622047244094499" header="0.196850393700787" footer="0.196850393700787"/>
  <pageSetup paperSize="9" scale="65" fitToHeight="7" orientation="portrait" r:id="rId1"/>
  <headerFooter scaleWithDoc="0" alignWithMargins="0"/>
  <rowBreaks count="1" manualBreakCount="1">
    <brk id="28" max="9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64"/>
  <sheetViews>
    <sheetView showGridLines="0" view="pageBreakPreview" zoomScale="85" zoomScaleNormal="100" zoomScaleSheetLayoutView="85" workbookViewId="0">
      <selection activeCell="N16" sqref="N16"/>
    </sheetView>
  </sheetViews>
  <sheetFormatPr defaultColWidth="10.5703125" defaultRowHeight="24" customHeight="1"/>
  <cols>
    <col min="1" max="1" width="48.42578125" style="9" customWidth="1"/>
    <col min="2" max="2" width="1.5703125" style="10" customWidth="1"/>
    <col min="3" max="3" width="5.5703125" style="9" customWidth="1"/>
    <col min="4" max="4" width="1.5703125" style="10" customWidth="1"/>
    <col min="5" max="5" width="12.5703125" style="10" customWidth="1"/>
    <col min="6" max="6" width="1.5703125" style="10" customWidth="1"/>
    <col min="7" max="7" width="12.5703125" style="10" customWidth="1"/>
    <col min="8" max="8" width="1.5703125" style="10" customWidth="1"/>
    <col min="9" max="9" width="12.5703125" style="10" customWidth="1"/>
    <col min="10" max="10" width="1.5703125" style="10" customWidth="1"/>
    <col min="11" max="11" width="12.5703125" style="10" customWidth="1"/>
    <col min="12" max="12" width="0.5703125" style="10" customWidth="1"/>
    <col min="13" max="16384" width="10.5703125" style="10"/>
  </cols>
  <sheetData>
    <row r="1" spans="1:11" s="1" customFormat="1" ht="23.25" customHeight="1">
      <c r="A1" s="57" t="s">
        <v>66</v>
      </c>
      <c r="B1" s="60"/>
      <c r="C1" s="60"/>
      <c r="I1" s="2"/>
      <c r="J1" s="2"/>
      <c r="K1" s="3"/>
    </row>
    <row r="2" spans="1:11" s="8" customFormat="1" ht="23.25" customHeight="1">
      <c r="A2" s="4" t="s">
        <v>0</v>
      </c>
      <c r="B2" s="5"/>
      <c r="C2" s="6"/>
      <c r="D2" s="7"/>
      <c r="E2" s="7"/>
      <c r="F2" s="7"/>
      <c r="G2" s="7"/>
      <c r="H2" s="7"/>
      <c r="I2" s="7"/>
      <c r="J2" s="7"/>
      <c r="K2" s="7"/>
    </row>
    <row r="3" spans="1:11" s="8" customFormat="1" ht="23.25" customHeight="1">
      <c r="A3" s="4" t="s">
        <v>54</v>
      </c>
      <c r="B3" s="5"/>
      <c r="C3" s="6"/>
      <c r="D3" s="7"/>
      <c r="E3" s="7"/>
      <c r="F3" s="7"/>
      <c r="G3" s="7"/>
      <c r="H3" s="7"/>
      <c r="I3" s="7"/>
      <c r="J3" s="7"/>
      <c r="K3" s="7"/>
    </row>
    <row r="4" spans="1:11" s="8" customFormat="1" ht="23.25" customHeight="1">
      <c r="A4" s="61" t="s">
        <v>72</v>
      </c>
      <c r="B4" s="5"/>
      <c r="C4" s="6"/>
      <c r="D4" s="7"/>
      <c r="E4" s="7"/>
      <c r="F4" s="7"/>
      <c r="G4" s="7"/>
      <c r="H4" s="7"/>
      <c r="I4" s="7"/>
      <c r="J4" s="7"/>
      <c r="K4" s="7"/>
    </row>
    <row r="5" spans="1:11" s="8" customFormat="1" ht="23.25" customHeight="1">
      <c r="B5" s="58"/>
      <c r="C5" s="59"/>
      <c r="D5" s="7"/>
      <c r="E5" s="7"/>
      <c r="F5" s="7"/>
      <c r="G5" s="7"/>
      <c r="H5" s="7"/>
      <c r="I5" s="5"/>
      <c r="J5" s="7"/>
      <c r="K5" s="3" t="s">
        <v>2</v>
      </c>
    </row>
    <row r="6" spans="1:11" ht="23.25">
      <c r="E6" s="11"/>
      <c r="F6" s="11" t="s">
        <v>3</v>
      </c>
      <c r="G6" s="11"/>
      <c r="H6" s="12"/>
      <c r="I6" s="11"/>
      <c r="J6" s="11" t="s">
        <v>4</v>
      </c>
      <c r="K6" s="11"/>
    </row>
    <row r="7" spans="1:11" ht="23.25">
      <c r="C7" s="13" t="s">
        <v>5</v>
      </c>
      <c r="D7" s="14"/>
      <c r="E7" s="13">
        <v>2555</v>
      </c>
      <c r="F7" s="15"/>
      <c r="G7" s="13">
        <v>2554</v>
      </c>
      <c r="H7" s="16"/>
      <c r="I7" s="13">
        <v>2555</v>
      </c>
      <c r="J7" s="15"/>
      <c r="K7" s="13">
        <v>2554</v>
      </c>
    </row>
    <row r="8" spans="1:11" ht="23.25">
      <c r="C8" s="13"/>
      <c r="D8" s="14"/>
      <c r="E8" s="13"/>
      <c r="F8" s="15"/>
      <c r="G8" s="17" t="s">
        <v>6</v>
      </c>
      <c r="H8" s="16"/>
      <c r="I8" s="13"/>
      <c r="J8" s="15"/>
      <c r="K8" s="17" t="s">
        <v>6</v>
      </c>
    </row>
    <row r="9" spans="1:11" ht="23.25">
      <c r="A9" s="18" t="s">
        <v>58</v>
      </c>
      <c r="C9" s="13"/>
      <c r="D9" s="14"/>
      <c r="E9" s="13"/>
      <c r="F9" s="15"/>
      <c r="G9" s="17"/>
      <c r="H9" s="16"/>
      <c r="I9" s="13"/>
      <c r="J9" s="15"/>
      <c r="K9" s="17"/>
    </row>
    <row r="10" spans="1:11" ht="23.25">
      <c r="A10" s="18" t="s">
        <v>34</v>
      </c>
    </row>
    <row r="11" spans="1:11" ht="23.25">
      <c r="A11" s="19" t="s">
        <v>35</v>
      </c>
      <c r="B11" s="20"/>
      <c r="C11" s="21"/>
      <c r="E11" s="22"/>
      <c r="F11" s="22"/>
      <c r="G11" s="22"/>
      <c r="H11" s="22"/>
      <c r="I11" s="22"/>
      <c r="J11" s="22"/>
      <c r="K11" s="22"/>
    </row>
    <row r="12" spans="1:11" ht="23.25">
      <c r="A12" s="19" t="s">
        <v>36</v>
      </c>
      <c r="B12" s="20"/>
      <c r="C12" s="21"/>
      <c r="E12" s="22"/>
      <c r="F12" s="22"/>
      <c r="G12" s="22"/>
      <c r="H12" s="22"/>
      <c r="I12" s="22"/>
      <c r="J12" s="22"/>
      <c r="K12" s="22"/>
    </row>
    <row r="13" spans="1:11" ht="23.25">
      <c r="A13" s="18" t="s">
        <v>37</v>
      </c>
      <c r="E13" s="23"/>
      <c r="F13" s="22"/>
      <c r="G13" s="23"/>
      <c r="H13" s="22"/>
      <c r="I13" s="23"/>
      <c r="J13" s="22"/>
      <c r="K13" s="23"/>
    </row>
    <row r="14" spans="1:11" ht="23.25">
      <c r="A14" s="18" t="s">
        <v>38</v>
      </c>
      <c r="E14" s="22"/>
      <c r="F14" s="22"/>
      <c r="G14" s="22"/>
      <c r="H14" s="22"/>
      <c r="I14" s="22"/>
      <c r="J14" s="22"/>
      <c r="K14" s="22"/>
    </row>
    <row r="15" spans="1:11" ht="23.25">
      <c r="A15" s="19" t="s">
        <v>39</v>
      </c>
      <c r="B15" s="20"/>
      <c r="E15" s="22"/>
      <c r="F15" s="22"/>
      <c r="G15" s="22"/>
      <c r="H15" s="22"/>
      <c r="I15" s="22"/>
      <c r="J15" s="22"/>
      <c r="K15" s="22"/>
    </row>
    <row r="16" spans="1:11" ht="23.25">
      <c r="A16" s="19" t="s">
        <v>40</v>
      </c>
      <c r="B16" s="20"/>
      <c r="C16" s="21"/>
      <c r="E16" s="22"/>
      <c r="F16" s="22"/>
      <c r="G16" s="22"/>
      <c r="H16" s="22"/>
      <c r="I16" s="22"/>
      <c r="J16" s="22"/>
      <c r="K16" s="22"/>
    </row>
    <row r="17" spans="1:11" ht="23.25">
      <c r="A17" s="19" t="s">
        <v>41</v>
      </c>
      <c r="B17" s="20"/>
      <c r="C17" s="21"/>
      <c r="E17" s="22"/>
      <c r="F17" s="22"/>
      <c r="G17" s="22"/>
      <c r="H17" s="22"/>
      <c r="I17" s="22"/>
      <c r="J17" s="22"/>
      <c r="K17" s="22"/>
    </row>
    <row r="18" spans="1:11" ht="23.25">
      <c r="A18" s="19" t="s">
        <v>42</v>
      </c>
      <c r="B18" s="20"/>
      <c r="C18" s="21"/>
      <c r="E18" s="24"/>
      <c r="F18" s="22"/>
      <c r="G18" s="24"/>
      <c r="H18" s="22"/>
      <c r="I18" s="24"/>
      <c r="J18" s="22"/>
      <c r="K18" s="24"/>
    </row>
    <row r="19" spans="1:11" ht="23.25">
      <c r="A19" s="18" t="s">
        <v>43</v>
      </c>
      <c r="E19" s="22"/>
      <c r="F19" s="22"/>
      <c r="G19" s="22"/>
      <c r="H19" s="22"/>
      <c r="I19" s="22"/>
      <c r="J19" s="22"/>
      <c r="K19" s="22"/>
    </row>
    <row r="20" spans="1:11" ht="23.25">
      <c r="A20" s="25" t="s">
        <v>44</v>
      </c>
      <c r="E20" s="22"/>
      <c r="F20" s="22"/>
      <c r="G20" s="22"/>
      <c r="H20" s="22"/>
      <c r="I20" s="22"/>
      <c r="J20" s="22"/>
      <c r="K20" s="22"/>
    </row>
    <row r="21" spans="1:11" ht="23.25">
      <c r="A21" s="25" t="s">
        <v>45</v>
      </c>
      <c r="E21" s="22"/>
      <c r="F21" s="22"/>
      <c r="G21" s="22"/>
      <c r="H21" s="22"/>
      <c r="I21" s="22"/>
      <c r="J21" s="22"/>
      <c r="K21" s="22"/>
    </row>
    <row r="22" spans="1:11" ht="23.25">
      <c r="A22" s="18" t="s">
        <v>76</v>
      </c>
      <c r="E22" s="22"/>
      <c r="F22" s="22"/>
      <c r="G22" s="22"/>
      <c r="H22" s="22"/>
      <c r="I22" s="22"/>
      <c r="J22" s="22"/>
      <c r="K22" s="22"/>
    </row>
    <row r="23" spans="1:11" ht="23.25">
      <c r="A23" s="19" t="s">
        <v>46</v>
      </c>
      <c r="E23" s="22"/>
      <c r="F23" s="22"/>
      <c r="G23" s="22"/>
      <c r="H23" s="22"/>
      <c r="I23" s="22"/>
      <c r="J23" s="22"/>
      <c r="K23" s="22"/>
    </row>
    <row r="24" spans="1:11" ht="23.25">
      <c r="A24" s="19" t="s">
        <v>47</v>
      </c>
      <c r="B24" s="8"/>
      <c r="E24" s="24"/>
      <c r="F24" s="22"/>
      <c r="G24" s="24"/>
      <c r="H24" s="22"/>
      <c r="I24" s="24"/>
      <c r="J24" s="22"/>
      <c r="K24" s="24"/>
    </row>
    <row r="25" spans="1:11" ht="23.25">
      <c r="A25" s="25" t="s">
        <v>75</v>
      </c>
      <c r="B25" s="8"/>
      <c r="E25" s="22"/>
      <c r="F25" s="22"/>
      <c r="G25" s="22"/>
      <c r="H25" s="22"/>
      <c r="I25" s="22"/>
      <c r="J25" s="22"/>
      <c r="K25" s="22"/>
    </row>
    <row r="26" spans="1:11" ht="23.25">
      <c r="A26" s="19" t="s">
        <v>48</v>
      </c>
      <c r="B26" s="8"/>
      <c r="E26" s="24"/>
      <c r="F26" s="22"/>
      <c r="G26" s="24"/>
      <c r="H26" s="22"/>
      <c r="I26" s="24"/>
      <c r="J26" s="22"/>
      <c r="K26" s="24"/>
    </row>
    <row r="27" spans="1:11" ht="23.25">
      <c r="A27" s="25" t="s">
        <v>77</v>
      </c>
      <c r="B27" s="8"/>
      <c r="E27" s="22"/>
      <c r="F27" s="22"/>
      <c r="G27" s="22"/>
      <c r="H27" s="22"/>
      <c r="I27" s="22"/>
      <c r="J27" s="22"/>
      <c r="K27" s="22"/>
    </row>
    <row r="28" spans="1:11" ht="23.25">
      <c r="A28" s="19" t="s">
        <v>74</v>
      </c>
      <c r="B28" s="8"/>
      <c r="C28" s="21"/>
      <c r="E28" s="24"/>
      <c r="F28" s="22"/>
      <c r="G28" s="24"/>
      <c r="H28" s="22"/>
      <c r="I28" s="24"/>
      <c r="J28" s="22"/>
      <c r="K28" s="24"/>
    </row>
    <row r="29" spans="1:11" ht="23.25">
      <c r="A29" s="18" t="s">
        <v>67</v>
      </c>
      <c r="E29" s="24"/>
      <c r="F29" s="22"/>
      <c r="G29" s="24"/>
      <c r="H29" s="22"/>
      <c r="I29" s="24"/>
      <c r="J29" s="22"/>
      <c r="K29" s="24"/>
    </row>
    <row r="30" spans="1:11" ht="13.5" customHeight="1">
      <c r="A30" s="18"/>
      <c r="E30" s="22"/>
      <c r="F30" s="22"/>
      <c r="G30" s="22"/>
      <c r="H30" s="22"/>
      <c r="I30" s="22"/>
      <c r="J30" s="22"/>
      <c r="K30" s="22"/>
    </row>
    <row r="31" spans="1:11" s="1" customFormat="1" ht="23.25" customHeight="1">
      <c r="A31" s="44" t="s">
        <v>59</v>
      </c>
      <c r="C31" s="26"/>
      <c r="D31" s="27"/>
      <c r="E31" s="28"/>
      <c r="F31" s="26"/>
      <c r="G31" s="29"/>
      <c r="H31" s="30"/>
      <c r="I31" s="29"/>
      <c r="J31" s="31"/>
      <c r="K31" s="32"/>
    </row>
    <row r="32" spans="1:11" s="1" customFormat="1" ht="23.25" customHeight="1">
      <c r="A32" s="33" t="s">
        <v>55</v>
      </c>
      <c r="C32" s="34"/>
      <c r="D32" s="35"/>
      <c r="E32" s="29"/>
      <c r="F32" s="34"/>
      <c r="G32" s="29"/>
      <c r="H32" s="30"/>
      <c r="I32" s="29"/>
      <c r="J32" s="31"/>
      <c r="K32" s="29"/>
    </row>
    <row r="33" spans="1:11" s="1" customFormat="1" ht="23.25" customHeight="1">
      <c r="A33" s="33" t="s">
        <v>65</v>
      </c>
      <c r="C33" s="34"/>
      <c r="D33" s="35"/>
      <c r="E33" s="29"/>
      <c r="F33" s="34"/>
      <c r="G33" s="29"/>
      <c r="H33" s="30"/>
      <c r="I33" s="29"/>
      <c r="J33" s="31"/>
      <c r="K33" s="29"/>
    </row>
    <row r="34" spans="1:11" s="1" customFormat="1" ht="23.25" customHeight="1">
      <c r="A34" s="33" t="s">
        <v>64</v>
      </c>
      <c r="C34" s="36"/>
      <c r="D34" s="35"/>
      <c r="E34" s="31"/>
      <c r="F34" s="37"/>
      <c r="G34" s="38"/>
      <c r="H34" s="39"/>
      <c r="I34" s="38"/>
      <c r="J34" s="31"/>
      <c r="K34" s="40"/>
    </row>
    <row r="35" spans="1:11" s="1" customFormat="1" ht="23.25" customHeight="1">
      <c r="A35" s="33" t="s">
        <v>56</v>
      </c>
      <c r="C35" s="36"/>
      <c r="D35" s="35"/>
      <c r="E35" s="31"/>
      <c r="F35" s="37"/>
      <c r="G35" s="38"/>
      <c r="H35" s="39"/>
      <c r="I35" s="38"/>
      <c r="J35" s="31"/>
      <c r="K35" s="40"/>
    </row>
    <row r="36" spans="1:11" s="1" customFormat="1" ht="23.25" customHeight="1">
      <c r="A36" s="63" t="s">
        <v>78</v>
      </c>
      <c r="B36" s="64"/>
      <c r="C36" s="65" t="s">
        <v>73</v>
      </c>
      <c r="D36" s="35"/>
      <c r="E36" s="62"/>
      <c r="F36" s="37"/>
      <c r="G36" s="41"/>
      <c r="H36" s="39"/>
      <c r="I36" s="42"/>
      <c r="J36" s="28"/>
      <c r="K36" s="43"/>
    </row>
    <row r="37" spans="1:11" s="1" customFormat="1" ht="23.25" customHeight="1">
      <c r="A37" s="44" t="s">
        <v>68</v>
      </c>
      <c r="C37" s="28"/>
      <c r="D37" s="27"/>
      <c r="E37" s="45"/>
      <c r="F37" s="37"/>
      <c r="G37" s="45"/>
      <c r="H37" s="30"/>
      <c r="I37" s="45"/>
      <c r="J37" s="31"/>
      <c r="K37" s="45"/>
    </row>
    <row r="38" spans="1:11" s="1" customFormat="1" ht="15.75" customHeight="1">
      <c r="A38" s="44"/>
      <c r="C38" s="28"/>
      <c r="D38" s="27"/>
      <c r="E38" s="29"/>
      <c r="F38" s="37"/>
      <c r="G38" s="29"/>
      <c r="H38" s="30"/>
      <c r="I38" s="29"/>
      <c r="J38" s="31"/>
      <c r="K38" s="29"/>
    </row>
    <row r="39" spans="1:11" s="1" customFormat="1" ht="23.25" customHeight="1" thickBot="1">
      <c r="A39" s="44" t="s">
        <v>69</v>
      </c>
      <c r="C39" s="28"/>
      <c r="D39" s="27"/>
      <c r="E39" s="46"/>
      <c r="F39" s="37"/>
      <c r="G39" s="46"/>
      <c r="H39" s="30"/>
      <c r="I39" s="46"/>
      <c r="J39" s="31"/>
      <c r="K39" s="46"/>
    </row>
    <row r="40" spans="1:11" s="1" customFormat="1" ht="23.25" customHeight="1" thickTop="1">
      <c r="A40" s="44"/>
      <c r="C40" s="28"/>
      <c r="D40" s="27"/>
      <c r="E40" s="28"/>
      <c r="F40" s="37"/>
      <c r="G40" s="29"/>
      <c r="H40" s="30"/>
      <c r="I40" s="29"/>
      <c r="J40" s="31"/>
      <c r="K40" s="40"/>
    </row>
    <row r="41" spans="1:11" ht="23.25" customHeight="1">
      <c r="A41" s="9" t="s">
        <v>16</v>
      </c>
      <c r="C41" s="17"/>
      <c r="E41" s="47"/>
      <c r="G41" s="47"/>
      <c r="I41" s="47"/>
      <c r="J41" s="47"/>
      <c r="K41" s="47"/>
    </row>
    <row r="42" spans="1:11" s="1" customFormat="1" ht="23.25" customHeight="1">
      <c r="I42" s="2"/>
      <c r="J42" s="2"/>
      <c r="K42" s="3"/>
    </row>
    <row r="43" spans="1:11" s="8" customFormat="1" ht="23.25" customHeight="1">
      <c r="A43" s="4" t="s">
        <v>0</v>
      </c>
      <c r="B43" s="5"/>
      <c r="C43" s="6"/>
      <c r="D43" s="7"/>
      <c r="E43" s="7"/>
      <c r="F43" s="7"/>
      <c r="G43" s="7"/>
      <c r="H43" s="7"/>
      <c r="I43" s="7"/>
      <c r="J43" s="7"/>
      <c r="K43" s="7"/>
    </row>
    <row r="44" spans="1:11" s="8" customFormat="1" ht="23.25" customHeight="1">
      <c r="A44" s="4" t="s">
        <v>60</v>
      </c>
      <c r="B44" s="5"/>
      <c r="C44" s="6"/>
      <c r="D44" s="7"/>
      <c r="E44" s="7"/>
      <c r="F44" s="7"/>
      <c r="G44" s="7"/>
      <c r="H44" s="7"/>
      <c r="I44" s="7"/>
      <c r="J44" s="7"/>
      <c r="K44" s="7"/>
    </row>
    <row r="45" spans="1:11" s="8" customFormat="1" ht="23.25" customHeight="1">
      <c r="A45" s="61" t="s">
        <v>72</v>
      </c>
      <c r="B45" s="5"/>
      <c r="C45" s="6"/>
      <c r="D45" s="7"/>
      <c r="E45" s="7"/>
      <c r="F45" s="7"/>
      <c r="G45" s="7"/>
      <c r="H45" s="7"/>
      <c r="I45" s="7"/>
      <c r="J45" s="7"/>
      <c r="K45" s="7"/>
    </row>
    <row r="46" spans="1:11" s="8" customFormat="1" ht="23.25" customHeight="1">
      <c r="B46" s="5"/>
      <c r="C46" s="6"/>
      <c r="D46" s="7"/>
      <c r="E46" s="7"/>
      <c r="F46" s="7"/>
      <c r="G46" s="7"/>
      <c r="H46" s="7"/>
      <c r="I46" s="5"/>
      <c r="J46" s="7"/>
      <c r="K46" s="3" t="s">
        <v>2</v>
      </c>
    </row>
    <row r="47" spans="1:11" ht="23.25">
      <c r="E47" s="11"/>
      <c r="F47" s="11" t="s">
        <v>3</v>
      </c>
      <c r="G47" s="11"/>
      <c r="H47" s="12"/>
      <c r="I47" s="11"/>
      <c r="J47" s="11" t="s">
        <v>4</v>
      </c>
      <c r="K47" s="11"/>
    </row>
    <row r="48" spans="1:11" ht="23.25">
      <c r="C48" s="13" t="s">
        <v>5</v>
      </c>
      <c r="D48" s="14"/>
      <c r="E48" s="13">
        <v>2555</v>
      </c>
      <c r="F48" s="15"/>
      <c r="G48" s="13">
        <v>2554</v>
      </c>
      <c r="H48" s="16"/>
      <c r="I48" s="13">
        <v>2555</v>
      </c>
      <c r="J48" s="15"/>
      <c r="K48" s="13">
        <v>2554</v>
      </c>
    </row>
    <row r="49" spans="1:11" ht="23.25">
      <c r="C49" s="13"/>
      <c r="D49" s="14"/>
      <c r="E49" s="13"/>
      <c r="F49" s="15"/>
      <c r="G49" s="17" t="s">
        <v>6</v>
      </c>
      <c r="H49" s="16"/>
      <c r="I49" s="13"/>
      <c r="J49" s="15"/>
      <c r="K49" s="17" t="s">
        <v>6</v>
      </c>
    </row>
    <row r="50" spans="1:11" s="1" customFormat="1" ht="23.25" customHeight="1">
      <c r="A50" s="44" t="s">
        <v>49</v>
      </c>
      <c r="C50" s="31"/>
      <c r="D50" s="35"/>
      <c r="E50" s="31"/>
      <c r="F50" s="37"/>
      <c r="G50" s="38"/>
      <c r="H50" s="39"/>
      <c r="I50" s="38"/>
      <c r="J50" s="31"/>
      <c r="K50" s="40"/>
    </row>
    <row r="51" spans="1:11" s="1" customFormat="1" ht="23.25" customHeight="1" thickBot="1">
      <c r="A51" s="9" t="s">
        <v>62</v>
      </c>
      <c r="C51" s="31"/>
      <c r="D51" s="35"/>
      <c r="E51" s="47"/>
      <c r="F51" s="10"/>
      <c r="G51" s="47"/>
      <c r="H51" s="10"/>
      <c r="I51" s="48"/>
      <c r="J51" s="47"/>
      <c r="K51" s="48"/>
    </row>
    <row r="52" spans="1:11" s="1" customFormat="1" ht="23.25" customHeight="1" thickTop="1">
      <c r="A52" s="9" t="s">
        <v>50</v>
      </c>
      <c r="C52" s="31"/>
      <c r="D52" s="35"/>
      <c r="E52" s="47"/>
      <c r="F52" s="10"/>
      <c r="G52" s="47"/>
      <c r="H52" s="10"/>
      <c r="I52" s="47"/>
      <c r="J52" s="47"/>
      <c r="K52" s="47"/>
    </row>
    <row r="53" spans="1:11" s="1" customFormat="1" ht="23.25" customHeight="1" thickBot="1">
      <c r="A53" s="33"/>
      <c r="C53" s="31"/>
      <c r="D53" s="35"/>
      <c r="E53" s="49"/>
      <c r="F53" s="22"/>
      <c r="G53" s="49"/>
      <c r="H53" s="22"/>
      <c r="I53" s="22"/>
      <c r="J53" s="22"/>
      <c r="K53" s="22"/>
    </row>
    <row r="54" spans="1:11" thickTop="1">
      <c r="A54" s="18" t="s">
        <v>57</v>
      </c>
      <c r="C54" s="21"/>
      <c r="E54" s="47"/>
      <c r="G54" s="47"/>
      <c r="I54" s="47"/>
      <c r="J54" s="47"/>
      <c r="K54" s="47"/>
    </row>
    <row r="55" spans="1:11" thickBot="1">
      <c r="A55" s="9" t="s">
        <v>62</v>
      </c>
      <c r="C55" s="21"/>
      <c r="E55" s="47"/>
      <c r="G55" s="47"/>
      <c r="I55" s="48"/>
      <c r="J55" s="47"/>
      <c r="K55" s="48"/>
    </row>
    <row r="56" spans="1:11" thickTop="1">
      <c r="A56" s="9" t="s">
        <v>50</v>
      </c>
      <c r="C56" s="21"/>
      <c r="E56" s="47"/>
      <c r="G56" s="47"/>
      <c r="I56" s="47"/>
      <c r="J56" s="47"/>
      <c r="K56" s="47"/>
    </row>
    <row r="57" spans="1:11" thickBot="1">
      <c r="E57" s="49"/>
      <c r="F57" s="22"/>
      <c r="G57" s="49"/>
      <c r="H57" s="22"/>
      <c r="I57" s="22"/>
      <c r="J57" s="22"/>
      <c r="K57" s="22"/>
    </row>
    <row r="58" spans="1:11" thickTop="1">
      <c r="A58" s="18" t="s">
        <v>51</v>
      </c>
      <c r="C58" s="21"/>
      <c r="E58" s="47"/>
      <c r="G58" s="47"/>
      <c r="I58" s="47"/>
      <c r="J58" s="47"/>
      <c r="K58" s="47"/>
    </row>
    <row r="59" spans="1:11" ht="23.25">
      <c r="A59" s="19" t="s">
        <v>52</v>
      </c>
      <c r="B59" s="20"/>
      <c r="C59" s="21"/>
      <c r="E59" s="47"/>
      <c r="G59" s="47"/>
      <c r="H59" s="47"/>
      <c r="I59" s="47"/>
      <c r="J59" s="47"/>
      <c r="K59" s="47"/>
    </row>
    <row r="60" spans="1:11" thickBot="1">
      <c r="A60" s="19" t="s">
        <v>63</v>
      </c>
      <c r="B60" s="8"/>
      <c r="C60" s="21"/>
      <c r="E60" s="50"/>
      <c r="F60" s="51"/>
      <c r="G60" s="50"/>
      <c r="H60" s="51"/>
      <c r="I60" s="52"/>
      <c r="J60" s="53"/>
      <c r="K60" s="52"/>
    </row>
    <row r="61" spans="1:11" ht="23.25" customHeight="1" thickTop="1">
      <c r="A61" s="19" t="s">
        <v>53</v>
      </c>
      <c r="B61" s="8"/>
      <c r="C61" s="21"/>
    </row>
    <row r="62" spans="1:11" ht="23.25" customHeight="1" thickBot="1">
      <c r="A62" s="19" t="s">
        <v>63</v>
      </c>
      <c r="B62" s="8"/>
      <c r="E62" s="50"/>
      <c r="F62" s="51"/>
      <c r="G62" s="50"/>
      <c r="H62" s="51"/>
      <c r="I62" s="50"/>
      <c r="J62" s="53"/>
      <c r="K62" s="50"/>
    </row>
    <row r="63" spans="1:11" ht="23.25" customHeight="1" thickTop="1">
      <c r="A63" s="19"/>
      <c r="B63" s="8"/>
      <c r="E63" s="47"/>
      <c r="G63" s="47"/>
      <c r="I63" s="47"/>
      <c r="J63" s="47"/>
      <c r="K63" s="47"/>
    </row>
    <row r="64" spans="1:11" ht="23.25">
      <c r="A64" s="9" t="s">
        <v>16</v>
      </c>
      <c r="C64" s="17"/>
      <c r="E64" s="47"/>
      <c r="G64" s="47"/>
      <c r="I64" s="47"/>
      <c r="J64" s="47"/>
      <c r="K64" s="47"/>
    </row>
  </sheetData>
  <pageMargins left="0.74803149606299202" right="0.55118110236220497" top="0.66929133858267698" bottom="0.31496062992126" header="0.31496062992126" footer="0.31496062992126"/>
  <pageSetup paperSize="9" scale="75" fitToHeight="2" orientation="portrait" r:id="rId1"/>
  <headerFooter>
    <oddHeader>&amp;R&amp;"Arial,Italic"&amp;12For internal use only</oddHeader>
  </headerFooter>
  <rowBreaks count="1" manualBreakCount="1">
    <brk id="41" max="16383" man="1"/>
  </rowBreaks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6B26E80F867FF94581EAACAE78F4FC8C" ma:contentTypeVersion="6" ma:contentTypeDescription="สร้างเอกสารใหม่" ma:contentTypeScope="" ma:versionID="53cc2bb651936d9e70d453a29a1fd1a9">
  <xsd:schema xmlns:xsd="http://www.w3.org/2001/XMLSchema" xmlns:xs="http://www.w3.org/2001/XMLSchema" xmlns:p="http://schemas.microsoft.com/office/2006/metadata/properties" xmlns:ns2="f10db112-9d77-45e3-85bf-0e7ef6e1d181" xmlns:ns3="dea57b33-0c0f-4a2a-9990-45e2bb740e56" targetNamespace="http://schemas.microsoft.com/office/2006/metadata/properties" ma:root="true" ma:fieldsID="ac29b11b9326b1f9d1ccb9acdb87730a" ns2:_="" ns3:_="">
    <xsd:import namespace="f10db112-9d77-45e3-85bf-0e7ef6e1d181"/>
    <xsd:import namespace="dea57b33-0c0f-4a2a-9990-45e2bb740e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0db112-9d77-45e3-85bf-0e7ef6e1d1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a57b33-0c0f-4a2a-9990-45e2bb740e5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แชร์กับ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แชร์พร้อมกับรายละเอียด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2AE4E24-DE73-47F4-A318-23A3D3EE982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0db112-9d77-45e3-85bf-0e7ef6e1d181"/>
    <ds:schemaRef ds:uri="dea57b33-0c0f-4a2a-9990-45e2bb740e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20B542E-4F69-4C54-A7D9-D3EDC86962E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BS</vt:lpstr>
      <vt:lpstr>PL</vt:lpstr>
      <vt:lpstr>CI (1 statement)</vt:lpstr>
      <vt:lpstr>BS!Print_Area</vt:lpstr>
      <vt:lpstr>'CI (1 statement)'!Print_Area</vt:lpstr>
      <vt:lpstr>PL!Print_Area</vt:lpstr>
    </vt:vector>
  </TitlesOfParts>
  <Company>Ernst &amp; Young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Ernst &amp; Young</dc:creator>
  <cp:lastModifiedBy>Chaosanguan, Siraput</cp:lastModifiedBy>
  <cp:lastPrinted>2024-02-28T04:45:56Z</cp:lastPrinted>
  <dcterms:created xsi:type="dcterms:W3CDTF">2011-03-08T09:02:15Z</dcterms:created>
  <dcterms:modified xsi:type="dcterms:W3CDTF">2025-02-26T08:13:57Z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0x0101006B26E80F867FF94581EAACAE78F4FC8C</vt:lpwstr>
  </property>
</Properties>
</file>